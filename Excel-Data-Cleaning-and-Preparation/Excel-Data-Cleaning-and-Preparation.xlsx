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8_{2925D8E1-994A-4E7D-B125-3C9EB483F740}" xr6:coauthVersionLast="47" xr6:coauthVersionMax="47" xr10:uidLastSave="{00000000-0000-0000-0000-000000000000}"/>
  <bookViews>
    <workbookView xWindow="-103" yWindow="-103" windowWidth="16663" windowHeight="8863" firstSheet="1" activeTab="4" xr2:uid="{00000000-000D-0000-FFFF-FFFF00000000}"/>
  </bookViews>
  <sheets>
    <sheet name="Raw_Employee_Data" sheetId="1" r:id="rId1"/>
    <sheet name="Sales_Transactions" sheetId="2" r:id="rId2"/>
    <sheet name="Customer_Master" sheetId="3" r:id="rId3"/>
    <sheet name="Product_List" sheetId="4" r:id="rId4"/>
    <sheet name="Questions_Sheet" sheetId="5" r:id="rId5"/>
  </sheets>
  <definedNames>
    <definedName name="_xlnm._FilterDatabase" localSheetId="1" hidden="1">Sales_Transactions!$B$1:$B$501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4" i="1" l="1"/>
  <c r="L69" i="1"/>
  <c r="L155" i="1"/>
  <c r="L204" i="1"/>
  <c r="L234" i="1"/>
  <c r="L146" i="1"/>
  <c r="L92" i="1"/>
  <c r="L58" i="1"/>
  <c r="L142" i="1"/>
  <c r="L52" i="1"/>
  <c r="L213" i="1"/>
  <c r="L23" i="1"/>
  <c r="L246" i="1"/>
  <c r="L147" i="1"/>
  <c r="L166" i="1"/>
  <c r="L250" i="1"/>
  <c r="L30" i="1"/>
  <c r="L130" i="1"/>
  <c r="L4" i="1"/>
  <c r="L217" i="1"/>
  <c r="L198" i="1"/>
  <c r="L141" i="1"/>
  <c r="L60" i="1"/>
  <c r="L7" i="1"/>
  <c r="L216" i="1"/>
  <c r="L50" i="1"/>
  <c r="L118" i="1"/>
  <c r="L196" i="1"/>
  <c r="L219" i="1"/>
  <c r="L238" i="1"/>
  <c r="L179" i="1"/>
  <c r="L192" i="1"/>
  <c r="L206" i="1"/>
  <c r="L237" i="1"/>
  <c r="L96" i="1"/>
  <c r="L134" i="1"/>
  <c r="L102" i="1"/>
  <c r="L154" i="1"/>
  <c r="L215" i="1"/>
  <c r="L59" i="1"/>
  <c r="L81" i="1"/>
  <c r="L161" i="1"/>
  <c r="L199" i="1"/>
  <c r="L225" i="1"/>
  <c r="L6" i="1"/>
  <c r="L231" i="1"/>
  <c r="L27" i="1"/>
  <c r="L120" i="1"/>
  <c r="L230" i="1"/>
  <c r="L15" i="1"/>
  <c r="L245" i="1"/>
  <c r="L36" i="1"/>
  <c r="L103" i="1"/>
  <c r="L174" i="1"/>
  <c r="L18" i="1"/>
  <c r="L202" i="1"/>
  <c r="L164" i="1"/>
  <c r="L170" i="1"/>
  <c r="L21" i="1"/>
  <c r="L145" i="1"/>
  <c r="L79" i="1"/>
  <c r="L95" i="1"/>
  <c r="L65" i="1"/>
  <c r="L159" i="1"/>
  <c r="L233" i="1"/>
  <c r="L178" i="1"/>
  <c r="L160" i="1"/>
  <c r="L73" i="1"/>
  <c r="L240" i="1"/>
  <c r="L38" i="1"/>
  <c r="L72" i="1"/>
  <c r="L32" i="1"/>
  <c r="L132" i="1"/>
  <c r="L5" i="1"/>
  <c r="L168" i="1"/>
  <c r="L222" i="1"/>
  <c r="L129" i="1"/>
  <c r="L78" i="1"/>
  <c r="L70" i="1"/>
  <c r="L64" i="1"/>
  <c r="L162" i="1"/>
  <c r="L91" i="1"/>
  <c r="L105" i="1"/>
  <c r="L117" i="1"/>
  <c r="L12" i="1"/>
  <c r="L2" i="1"/>
  <c r="L184" i="1"/>
  <c r="L107" i="1"/>
  <c r="L46" i="1"/>
  <c r="L112" i="1"/>
  <c r="L88" i="1"/>
  <c r="L221" i="1"/>
  <c r="L133" i="1"/>
  <c r="L3" i="1"/>
  <c r="L44" i="1"/>
  <c r="L197" i="1"/>
  <c r="L55" i="1"/>
  <c r="L114" i="1"/>
  <c r="L210" i="1"/>
  <c r="L214" i="1"/>
  <c r="L47" i="1"/>
  <c r="L98" i="1"/>
  <c r="L163" i="1"/>
  <c r="L208" i="1"/>
  <c r="L101" i="1"/>
  <c r="L63" i="1"/>
  <c r="L144" i="1"/>
  <c r="L94" i="1"/>
  <c r="L10" i="1"/>
  <c r="L76" i="1"/>
  <c r="L80" i="1"/>
  <c r="L189" i="1"/>
  <c r="L126" i="1"/>
  <c r="L220" i="1"/>
  <c r="L239" i="1"/>
  <c r="L62" i="1"/>
  <c r="L152" i="1"/>
  <c r="L153" i="1"/>
  <c r="L232" i="1"/>
  <c r="L228" i="1"/>
  <c r="L39" i="1"/>
  <c r="L241" i="1"/>
  <c r="L181" i="1"/>
  <c r="L61" i="1"/>
  <c r="L97" i="1"/>
  <c r="L187" i="1"/>
  <c r="L149" i="1"/>
  <c r="L194" i="1"/>
  <c r="L223" i="1"/>
  <c r="L17" i="1"/>
  <c r="L8" i="1"/>
  <c r="L183" i="1"/>
  <c r="L123" i="1"/>
  <c r="L31" i="1"/>
  <c r="L13" i="1"/>
  <c r="L148" i="1"/>
  <c r="L19" i="1"/>
  <c r="L171" i="1"/>
  <c r="L87" i="1"/>
  <c r="L54" i="1"/>
  <c r="L113" i="1"/>
  <c r="L82" i="1"/>
  <c r="L11" i="1"/>
  <c r="L244" i="1"/>
  <c r="L180" i="1"/>
  <c r="L188" i="1"/>
  <c r="L186" i="1"/>
  <c r="L195" i="1"/>
  <c r="L243" i="1"/>
  <c r="L20" i="1"/>
  <c r="L211" i="1"/>
  <c r="L224" i="1"/>
  <c r="L247" i="1"/>
  <c r="L209" i="1"/>
  <c r="L89" i="1"/>
  <c r="L177" i="1"/>
  <c r="L106" i="1"/>
  <c r="L190" i="1"/>
  <c r="L121" i="1"/>
  <c r="L29" i="1"/>
  <c r="L158" i="1"/>
  <c r="L93" i="1"/>
  <c r="L41" i="1"/>
  <c r="L173" i="1"/>
  <c r="L143" i="1"/>
  <c r="L25" i="1"/>
  <c r="L203" i="1"/>
  <c r="L53" i="1"/>
  <c r="L139" i="1"/>
  <c r="L229" i="1"/>
  <c r="L131" i="1"/>
  <c r="L84" i="1"/>
  <c r="L111" i="1"/>
  <c r="L248" i="1"/>
  <c r="L167" i="1"/>
  <c r="L205" i="1"/>
  <c r="L45" i="1"/>
  <c r="L249" i="1"/>
  <c r="L124" i="1"/>
  <c r="L74" i="1"/>
  <c r="L251" i="1"/>
  <c r="L116" i="1"/>
  <c r="L35" i="1"/>
  <c r="L151" i="1"/>
  <c r="L100" i="1"/>
  <c r="L200" i="1"/>
  <c r="L49" i="1"/>
  <c r="L34" i="1"/>
  <c r="L43" i="1"/>
  <c r="L26" i="1"/>
  <c r="L156" i="1"/>
  <c r="L108" i="1"/>
  <c r="L150" i="1"/>
  <c r="L104" i="1"/>
  <c r="L90" i="1"/>
  <c r="L99" i="1"/>
  <c r="L140" i="1"/>
  <c r="L176" i="1"/>
  <c r="L67" i="1"/>
  <c r="L33" i="1"/>
  <c r="L16" i="1"/>
  <c r="L207" i="1"/>
  <c r="L193" i="1"/>
  <c r="L109" i="1"/>
  <c r="L110" i="1"/>
  <c r="L227" i="1"/>
  <c r="L14" i="1"/>
  <c r="L137" i="1"/>
  <c r="L201" i="1"/>
  <c r="L37" i="1"/>
  <c r="L175" i="1"/>
  <c r="L77" i="1"/>
  <c r="L75" i="1"/>
  <c r="L22" i="1"/>
  <c r="L185" i="1"/>
  <c r="L83" i="1"/>
  <c r="L125" i="1"/>
  <c r="L138" i="1"/>
  <c r="L9" i="1"/>
  <c r="L191" i="1"/>
  <c r="L68" i="1"/>
  <c r="L40" i="1"/>
  <c r="L135" i="1"/>
  <c r="L169" i="1"/>
  <c r="L242" i="1"/>
  <c r="L136" i="1"/>
  <c r="L172" i="1"/>
  <c r="L42" i="1"/>
  <c r="L48" i="1"/>
  <c r="L86" i="1"/>
  <c r="L128" i="1"/>
  <c r="L115" i="1"/>
  <c r="L235" i="1"/>
  <c r="L218" i="1"/>
  <c r="L122" i="1"/>
  <c r="L236" i="1"/>
  <c r="L226" i="1"/>
  <c r="L165" i="1"/>
  <c r="L66" i="1"/>
  <c r="L127" i="1"/>
  <c r="L56" i="1"/>
  <c r="L212" i="1"/>
  <c r="L57" i="1"/>
  <c r="L71" i="1"/>
  <c r="L157" i="1"/>
  <c r="L51" i="1"/>
  <c r="L28" i="1"/>
  <c r="L85" i="1"/>
  <c r="L182" i="1"/>
  <c r="L11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" i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2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2" i="2"/>
  <c r="M2" i="1" a="1"/>
  <c r="M2" i="1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2" i="3"/>
  <c r="Q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" i="1"/>
  <c r="J2" i="1" a="1"/>
  <c r="J2" i="1" s="1"/>
  <c r="I2" i="1" a="1"/>
  <c r="I2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<sst xmlns="http://schemas.openxmlformats.org/spreadsheetml/2006/main" count="7296" uniqueCount="3839">
  <si>
    <t>Emp_ID</t>
  </si>
  <si>
    <t>Full_Name</t>
  </si>
  <si>
    <t>Department</t>
  </si>
  <si>
    <t>Joining_Date</t>
  </si>
  <si>
    <t>Email</t>
  </si>
  <si>
    <t>Phone_No</t>
  </si>
  <si>
    <t>Salary</t>
  </si>
  <si>
    <t>E1000</t>
  </si>
  <si>
    <t>ALLISON HILL</t>
  </si>
  <si>
    <t>Operations</t>
  </si>
  <si>
    <t>michaelcesar@johnson-ortiz.com</t>
  </si>
  <si>
    <t>001-423-122-0994x9993</t>
  </si>
  <si>
    <t>E1001</t>
  </si>
  <si>
    <t>HR</t>
  </si>
  <si>
    <t>E1002</t>
  </si>
  <si>
    <t>Angie Henderson</t>
  </si>
  <si>
    <t>vegadorothy@hotmail.com</t>
  </si>
  <si>
    <t>722.330.6046x3331</t>
  </si>
  <si>
    <t>E1003</t>
  </si>
  <si>
    <t>Daniel Wagner</t>
  </si>
  <si>
    <t>david86@anderson.com</t>
  </si>
  <si>
    <t>(797)573-6609</t>
  </si>
  <si>
    <t>E1004</t>
  </si>
  <si>
    <t>Cristian Santos</t>
  </si>
  <si>
    <t>IT</t>
  </si>
  <si>
    <t>inunez@yahoo.com</t>
  </si>
  <si>
    <t>001-656-999-8808x1770</t>
  </si>
  <si>
    <t>E1005</t>
  </si>
  <si>
    <t>Connie Lawrence</t>
  </si>
  <si>
    <t>Finance</t>
  </si>
  <si>
    <t>johnreed@yahoo.com</t>
  </si>
  <si>
    <t>886.086.8034</t>
  </si>
  <si>
    <t>E1006</t>
  </si>
  <si>
    <t>Abigail Shaffer</t>
  </si>
  <si>
    <t>johnsondonna@miranda.com</t>
  </si>
  <si>
    <t>644.726.4908x277</t>
  </si>
  <si>
    <t>E1008</t>
  </si>
  <si>
    <t>E1009</t>
  </si>
  <si>
    <t>Ryan Munoz</t>
  </si>
  <si>
    <t>175-186-8926</t>
  </si>
  <si>
    <t>E1011</t>
  </si>
  <si>
    <t>Sales</t>
  </si>
  <si>
    <t>E1013</t>
  </si>
  <si>
    <t>Michele Williams</t>
  </si>
  <si>
    <t>heather62@yahoo.com</t>
  </si>
  <si>
    <t>990-384-9830</t>
  </si>
  <si>
    <t>E1014</t>
  </si>
  <si>
    <t>E1015</t>
  </si>
  <si>
    <t>Marketing</t>
  </si>
  <si>
    <t>E1016</t>
  </si>
  <si>
    <t>Holly Wood</t>
  </si>
  <si>
    <t>igrant@yahoo.com</t>
  </si>
  <si>
    <t>(795)014-5561</t>
  </si>
  <si>
    <t>E1017</t>
  </si>
  <si>
    <t>E1018</t>
  </si>
  <si>
    <t>E1019</t>
  </si>
  <si>
    <t>E1020</t>
  </si>
  <si>
    <t>Margaret Hawkins DDS</t>
  </si>
  <si>
    <t>srocha@padilla.com</t>
  </si>
  <si>
    <t>430.107.1396</t>
  </si>
  <si>
    <t>E1021</t>
  </si>
  <si>
    <t>E1022</t>
  </si>
  <si>
    <t>michael77@gmail.com</t>
  </si>
  <si>
    <t>E1023</t>
  </si>
  <si>
    <t>Tommy Walter</t>
  </si>
  <si>
    <t>robin55@yahoo.com</t>
  </si>
  <si>
    <t>+1-272-785-7608x4958</t>
  </si>
  <si>
    <t>E1024</t>
  </si>
  <si>
    <t>E1025</t>
  </si>
  <si>
    <t>Judy Baker</t>
  </si>
  <si>
    <t>jerry93@pierce-harding.com</t>
  </si>
  <si>
    <t>(829)962-9145x0461</t>
  </si>
  <si>
    <t>E1026</t>
  </si>
  <si>
    <t>E1027</t>
  </si>
  <si>
    <t>Stephanie Ross</t>
  </si>
  <si>
    <t>yjackson@yahoo.com</t>
  </si>
  <si>
    <t>078.235.7845x21823</t>
  </si>
  <si>
    <t>E1028</t>
  </si>
  <si>
    <t>Zachary Hicks</t>
  </si>
  <si>
    <t>jenniferfreeman@mooney.com</t>
  </si>
  <si>
    <t>001-076-810-4091x5701</t>
  </si>
  <si>
    <t>E1029</t>
  </si>
  <si>
    <t>Anthony Rodriguez</t>
  </si>
  <si>
    <t>gutierrezmegan@jones.com</t>
  </si>
  <si>
    <t>409.435.3344x85714</t>
  </si>
  <si>
    <t>E1030</t>
  </si>
  <si>
    <t>Rebecca Henderson</t>
  </si>
  <si>
    <t>nbrooks@estrada.info</t>
  </si>
  <si>
    <t>(241)098-8138</t>
  </si>
  <si>
    <t>E1031</t>
  </si>
  <si>
    <t>E1032</t>
  </si>
  <si>
    <t>Tricia Valencia</t>
  </si>
  <si>
    <t>shawheidi@yahoo.com</t>
  </si>
  <si>
    <t>020.701.6016x629</t>
  </si>
  <si>
    <t>E1033</t>
  </si>
  <si>
    <t>Nathan Maldonado</t>
  </si>
  <si>
    <t>hullalice@lee.com</t>
  </si>
  <si>
    <t>001-795-453-8179</t>
  </si>
  <si>
    <t>E1034</t>
  </si>
  <si>
    <t>Debra Davidson</t>
  </si>
  <si>
    <t>laura15@yahoo.com</t>
  </si>
  <si>
    <t>(171)747-7332</t>
  </si>
  <si>
    <t>E1035</t>
  </si>
  <si>
    <t>E1036</t>
  </si>
  <si>
    <t>Sherri Baker</t>
  </si>
  <si>
    <t>veronicaperez@hotmail.com</t>
  </si>
  <si>
    <t>724.599.2816x1581</t>
  </si>
  <si>
    <t>E1037</t>
  </si>
  <si>
    <t>E1038</t>
  </si>
  <si>
    <t>Elizabeth Fowler</t>
  </si>
  <si>
    <t>vnewman@hotmail.com</t>
  </si>
  <si>
    <t>966.958.3219</t>
  </si>
  <si>
    <t>E1039</t>
  </si>
  <si>
    <t>Brittany Farmer</t>
  </si>
  <si>
    <t>hallrachel@clay.com</t>
  </si>
  <si>
    <t>199.758.1724x6191</t>
  </si>
  <si>
    <t>E1040</t>
  </si>
  <si>
    <t>E1041</t>
  </si>
  <si>
    <t>Fred Smith</t>
  </si>
  <si>
    <t>karenmarquez@hickman-evans.org</t>
  </si>
  <si>
    <t>(997)335-4946x5190</t>
  </si>
  <si>
    <t>E1042</t>
  </si>
  <si>
    <t>E1045</t>
  </si>
  <si>
    <t>Philip Cannon</t>
  </si>
  <si>
    <t>unovak@gmail.com</t>
  </si>
  <si>
    <t>+1-220-102-7621x26796</t>
  </si>
  <si>
    <t>E1046</t>
  </si>
  <si>
    <t>John Pierce</t>
  </si>
  <si>
    <t>whenry@hotmail.com</t>
  </si>
  <si>
    <t>+1-278-687-6532x690</t>
  </si>
  <si>
    <t>E1047</t>
  </si>
  <si>
    <t>E1048</t>
  </si>
  <si>
    <t>Joshua Blair</t>
  </si>
  <si>
    <t>bartonkenneth@gmail.com</t>
  </si>
  <si>
    <t>001-751-971-2847</t>
  </si>
  <si>
    <t>E1050</t>
  </si>
  <si>
    <t>JESSICA HOLMES</t>
  </si>
  <si>
    <t>sean41@miller.info</t>
  </si>
  <si>
    <t>787.956.5442x0949</t>
  </si>
  <si>
    <t>E1051</t>
  </si>
  <si>
    <t>Danny Morgan</t>
  </si>
  <si>
    <t>johnsonmichael@gmail.com</t>
  </si>
  <si>
    <t>079-290-4904x712</t>
  </si>
  <si>
    <t>E1052</t>
  </si>
  <si>
    <t>Crystal Robinson</t>
  </si>
  <si>
    <t>asmith@yahoo.com</t>
  </si>
  <si>
    <t>144.294.4401x92927</t>
  </si>
  <si>
    <t>E1053</t>
  </si>
  <si>
    <t>Mark Perez</t>
  </si>
  <si>
    <t>ashleyjackson@jackson-adams.com</t>
  </si>
  <si>
    <t>(243)728-0512x927</t>
  </si>
  <si>
    <t>E1054</t>
  </si>
  <si>
    <t>Shannon Jones</t>
  </si>
  <si>
    <t>bryanhamilton@yahoo.com</t>
  </si>
  <si>
    <t>001-663-723-9504x10276</t>
  </si>
  <si>
    <t>E1055</t>
  </si>
  <si>
    <t>Michael Lewis</t>
  </si>
  <si>
    <t>xpatton@yahoo.com</t>
  </si>
  <si>
    <t>478.366.7428x6047</t>
  </si>
  <si>
    <t>E1056</t>
  </si>
  <si>
    <t>Timothy Duncan</t>
  </si>
  <si>
    <t>mwheeler@rodriguez-torres.biz</t>
  </si>
  <si>
    <t>(580)185-6945x4414</t>
  </si>
  <si>
    <t>E1057</t>
  </si>
  <si>
    <t>E1058</t>
  </si>
  <si>
    <t>E1059</t>
  </si>
  <si>
    <t>John Daniel</t>
  </si>
  <si>
    <t>malik37@thompson-sanders.com</t>
  </si>
  <si>
    <t>0910939111</t>
  </si>
  <si>
    <t>E1060</t>
  </si>
  <si>
    <t>Victoria Garcia</t>
  </si>
  <si>
    <t>yfaulkner@gmail.com</t>
  </si>
  <si>
    <t>+1-269-212-4471x746</t>
  </si>
  <si>
    <t>E1061</t>
  </si>
  <si>
    <t>E1062</t>
  </si>
  <si>
    <t>E1063</t>
  </si>
  <si>
    <t>Donald Wright</t>
  </si>
  <si>
    <t>frederickjames@hotmail.com</t>
  </si>
  <si>
    <t>+1-174-101-1947x0720</t>
  </si>
  <si>
    <t>E1064</t>
  </si>
  <si>
    <t>Jessica Callahan</t>
  </si>
  <si>
    <t>bentonsteven@clark.com</t>
  </si>
  <si>
    <t>6425690877</t>
  </si>
  <si>
    <t>E1065</t>
  </si>
  <si>
    <t>E1066</t>
  </si>
  <si>
    <t>Tracy House</t>
  </si>
  <si>
    <t>jennifermccormick@gmail.com</t>
  </si>
  <si>
    <t>+1-158-517-4328x0634</t>
  </si>
  <si>
    <t>E1067</t>
  </si>
  <si>
    <t>E1068</t>
  </si>
  <si>
    <t>James Brown</t>
  </si>
  <si>
    <t>gibbsmichael@hotmail.com</t>
  </si>
  <si>
    <t>618.478.7005x0506</t>
  </si>
  <si>
    <t>E1069</t>
  </si>
  <si>
    <t>William Baker</t>
  </si>
  <si>
    <t>mackdiane@jackson-salazar.org</t>
  </si>
  <si>
    <t>387-829-3102</t>
  </si>
  <si>
    <t>E1071</t>
  </si>
  <si>
    <t>E1072</t>
  </si>
  <si>
    <t>Brittney Phillips</t>
  </si>
  <si>
    <t>whitney71@perry-nixon.com</t>
  </si>
  <si>
    <t>651-982-5309x25114</t>
  </si>
  <si>
    <t>E1073</t>
  </si>
  <si>
    <t>E1074</t>
  </si>
  <si>
    <t>E1075</t>
  </si>
  <si>
    <t>Sarah Moore</t>
  </si>
  <si>
    <t>evanslisa@gmail.com</t>
  </si>
  <si>
    <t>001-946-723-2487x632</t>
  </si>
  <si>
    <t>E1076</t>
  </si>
  <si>
    <t>Angela Lopez</t>
  </si>
  <si>
    <t>deborah23@thompson.info</t>
  </si>
  <si>
    <t>+1-092-791-4560x833</t>
  </si>
  <si>
    <t>E1079</t>
  </si>
  <si>
    <t>Lisa Barnes</t>
  </si>
  <si>
    <t>karen19@lloyd.com</t>
  </si>
  <si>
    <t>364-597-0108x2207</t>
  </si>
  <si>
    <t>E1080</t>
  </si>
  <si>
    <t>Kelly Donovan</t>
  </si>
  <si>
    <t>james14@hotmail.com</t>
  </si>
  <si>
    <t>113.799.5635x31531</t>
  </si>
  <si>
    <t>E1081</t>
  </si>
  <si>
    <t>Mike Allen</t>
  </si>
  <si>
    <t>candice96@hotmail.com</t>
  </si>
  <si>
    <t>636.317.9706</t>
  </si>
  <si>
    <t>E1083</t>
  </si>
  <si>
    <t>Paul Jones</t>
  </si>
  <si>
    <t>michael79@cervantes.com</t>
  </si>
  <si>
    <t>352-090-4217x762</t>
  </si>
  <si>
    <t>E1084</t>
  </si>
  <si>
    <t>Zachary Ferrell</t>
  </si>
  <si>
    <t>lawrenceallen@white.com</t>
  </si>
  <si>
    <t>001-534-929-2983x16873</t>
  </si>
  <si>
    <t>E1085</t>
  </si>
  <si>
    <t>Daniel Baker</t>
  </si>
  <si>
    <t>kcarlson@yahoo.com</t>
  </si>
  <si>
    <t>001-774-063-3569</t>
  </si>
  <si>
    <t>E1087</t>
  </si>
  <si>
    <t>E1088</t>
  </si>
  <si>
    <t>Lisa Archer</t>
  </si>
  <si>
    <t>tracytaylor@wilkinson-harvey.com</t>
  </si>
  <si>
    <t>107.427.9907</t>
  </si>
  <si>
    <t>E1089</t>
  </si>
  <si>
    <t>E1090</t>
  </si>
  <si>
    <t>E1091</t>
  </si>
  <si>
    <t>Brian Rodriguez</t>
  </si>
  <si>
    <t>antonio38@jackson-ellis.info</t>
  </si>
  <si>
    <t>905.528.1832x538</t>
  </si>
  <si>
    <t>E1093</t>
  </si>
  <si>
    <t>E1095</t>
  </si>
  <si>
    <t>E1098</t>
  </si>
  <si>
    <t>E1099</t>
  </si>
  <si>
    <t>Stephen Mckee</t>
  </si>
  <si>
    <t>rsellers@martinez.com</t>
  </si>
  <si>
    <t>729-284-2222x3105</t>
  </si>
  <si>
    <t>E1102</t>
  </si>
  <si>
    <t>E1103</t>
  </si>
  <si>
    <t>E1105</t>
  </si>
  <si>
    <t>E1106</t>
  </si>
  <si>
    <t>Sharon Cherry</t>
  </si>
  <si>
    <t>ashleewashington@yahoo.com</t>
  </si>
  <si>
    <t>001-656-504-5547x813</t>
  </si>
  <si>
    <t>E1108</t>
  </si>
  <si>
    <t>Evelyn Galvan</t>
  </si>
  <si>
    <t>bsmith@gmail.com</t>
  </si>
  <si>
    <t>851.961.0646x2879</t>
  </si>
  <si>
    <t>E1111</t>
  </si>
  <si>
    <t>E1112</t>
  </si>
  <si>
    <t>Julia Torres</t>
  </si>
  <si>
    <t>lisa62@jones-reyes.com</t>
  </si>
  <si>
    <t>+1-715-890-4290x2572</t>
  </si>
  <si>
    <t>E1114</t>
  </si>
  <si>
    <t>Garrett Lin</t>
  </si>
  <si>
    <t>morenoalan@martin.com</t>
  </si>
  <si>
    <t>001-219-285-5445x18952</t>
  </si>
  <si>
    <t>E1115</t>
  </si>
  <si>
    <t>Diana May</t>
  </si>
  <si>
    <t>fheath@gmail.com</t>
  </si>
  <si>
    <t>2845765213</t>
  </si>
  <si>
    <t>E1116</t>
  </si>
  <si>
    <t>William Herrera</t>
  </si>
  <si>
    <t>lawrencepatrick@edwards-taylor.com</t>
  </si>
  <si>
    <t>(833)898-8816</t>
  </si>
  <si>
    <t>E1117</t>
  </si>
  <si>
    <t>Ashley Waller</t>
  </si>
  <si>
    <t>angelagreene@mitchell.com</t>
  </si>
  <si>
    <t>112.075.4527x985</t>
  </si>
  <si>
    <t>E1119</t>
  </si>
  <si>
    <t>E1120</t>
  </si>
  <si>
    <t>Larry Dixon</t>
  </si>
  <si>
    <t>sarah26@fisher.info</t>
  </si>
  <si>
    <t>8907140140</t>
  </si>
  <si>
    <t>E1121</t>
  </si>
  <si>
    <t>Kenneth Scott</t>
  </si>
  <si>
    <t>matthewsalexander@williams.biz</t>
  </si>
  <si>
    <t>001-119-393-2501x24955</t>
  </si>
  <si>
    <t>E1122</t>
  </si>
  <si>
    <t>April Frost</t>
  </si>
  <si>
    <t>zhenderson@gmail.com</t>
  </si>
  <si>
    <t>(893)891-1908</t>
  </si>
  <si>
    <t>E1123</t>
  </si>
  <si>
    <t>Michelle Harmon</t>
  </si>
  <si>
    <t>christopher18@mccann.net</t>
  </si>
  <si>
    <t>342.801.3875</t>
  </si>
  <si>
    <t>E1124</t>
  </si>
  <si>
    <t>E1125</t>
  </si>
  <si>
    <t>E1126</t>
  </si>
  <si>
    <t>E1127</t>
  </si>
  <si>
    <t>E1128</t>
  </si>
  <si>
    <t>E1129</t>
  </si>
  <si>
    <t>Megan Orr</t>
  </si>
  <si>
    <t>nathanbrady@yahoo.com</t>
  </si>
  <si>
    <t>994-657-9678x427</t>
  </si>
  <si>
    <t>E1130</t>
  </si>
  <si>
    <t>Elizabeth Kelley</t>
  </si>
  <si>
    <t>rogersruben@brown.com</t>
  </si>
  <si>
    <t>147-732-0101</t>
  </si>
  <si>
    <t>E1131</t>
  </si>
  <si>
    <t>Dustin Jordan</t>
  </si>
  <si>
    <t>ddixon@yahoo.com</t>
  </si>
  <si>
    <t>026.952.4991x1877</t>
  </si>
  <si>
    <t>E1132</t>
  </si>
  <si>
    <t>E1133</t>
  </si>
  <si>
    <t>E1134</t>
  </si>
  <si>
    <t>Rebecca Jackson</t>
  </si>
  <si>
    <t>marcbutler@hotmail.com</t>
  </si>
  <si>
    <t>624.671.9788x9778</t>
  </si>
  <si>
    <t>E1137</t>
  </si>
  <si>
    <t>Courtney Gonzalez</t>
  </si>
  <si>
    <t>jeffreyblack@finley.info</t>
  </si>
  <si>
    <t>(503)334-9114x15208</t>
  </si>
  <si>
    <t>E1138</t>
  </si>
  <si>
    <t>David Alvarez</t>
  </si>
  <si>
    <t>mark87@gmail.com</t>
  </si>
  <si>
    <t>076-986-4079x05696</t>
  </si>
  <si>
    <t>E1140</t>
  </si>
  <si>
    <t>Cheyenne Horton</t>
  </si>
  <si>
    <t>frichardson@oconnor.com</t>
  </si>
  <si>
    <t>183.440.4963x9191</t>
  </si>
  <si>
    <t>E1142</t>
  </si>
  <si>
    <t>Patricia Rodriguez</t>
  </si>
  <si>
    <t>usweeney@garcia-moreno.com</t>
  </si>
  <si>
    <t>+1-484-685-3664x9878</t>
  </si>
  <si>
    <t>E1143</t>
  </si>
  <si>
    <t>E1144</t>
  </si>
  <si>
    <t>Amber Wright</t>
  </si>
  <si>
    <t>williamsjesse@hotmail.com</t>
  </si>
  <si>
    <t>001-690-835-7232x46651</t>
  </si>
  <si>
    <t>E1145</t>
  </si>
  <si>
    <t>Joyce Solis</t>
  </si>
  <si>
    <t>stephen19@gmail.com</t>
  </si>
  <si>
    <t>+1-364-424-9363x1230</t>
  </si>
  <si>
    <t>E1146</t>
  </si>
  <si>
    <t>Victoria Larson</t>
  </si>
  <si>
    <t>kjones@graham.com</t>
  </si>
  <si>
    <t>477.866.0324</t>
  </si>
  <si>
    <t>E1147</t>
  </si>
  <si>
    <t>E1148</t>
  </si>
  <si>
    <t>E1149</t>
  </si>
  <si>
    <t>Stephanie Manning</t>
  </si>
  <si>
    <t>jesus32@hotmail.com</t>
  </si>
  <si>
    <t>001-847-139-1559x63632</t>
  </si>
  <si>
    <t>E1150</t>
  </si>
  <si>
    <t>DAVID WRIGHT</t>
  </si>
  <si>
    <t>danielcole@russell-herrera.com</t>
  </si>
  <si>
    <t>234-764-9078</t>
  </si>
  <si>
    <t>E1151</t>
  </si>
  <si>
    <t>Pamela Boyd</t>
  </si>
  <si>
    <t>steven11@gmail.com</t>
  </si>
  <si>
    <t>(158)673-4257x540</t>
  </si>
  <si>
    <t>E1152</t>
  </si>
  <si>
    <t>E1153</t>
  </si>
  <si>
    <t>Devon Flores</t>
  </si>
  <si>
    <t>tanyafoster@byrd.com</t>
  </si>
  <si>
    <t>6441343275</t>
  </si>
  <si>
    <t>E1154</t>
  </si>
  <si>
    <t>E1156</t>
  </si>
  <si>
    <t>Joshua Perry</t>
  </si>
  <si>
    <t>samantha10@gonzalez.info</t>
  </si>
  <si>
    <t>123-829-6577</t>
  </si>
  <si>
    <t>E1157</t>
  </si>
  <si>
    <t>Jason Stein</t>
  </si>
  <si>
    <t>steinmaria@martinez-dunlap.com</t>
  </si>
  <si>
    <t>001-242-954-3165x2669</t>
  </si>
  <si>
    <t>E1158</t>
  </si>
  <si>
    <t>Melissa Gates</t>
  </si>
  <si>
    <t>zunderwood@johnson-vega.com</t>
  </si>
  <si>
    <t>008.931.7342</t>
  </si>
  <si>
    <t>E1159</t>
  </si>
  <si>
    <t>E1160</t>
  </si>
  <si>
    <t>E1161</t>
  </si>
  <si>
    <t>E1162</t>
  </si>
  <si>
    <t>Lindsey Walker</t>
  </si>
  <si>
    <t>patrick63@wilkerson.net</t>
  </si>
  <si>
    <t>439-735-9710x7256</t>
  </si>
  <si>
    <t>E1163</t>
  </si>
  <si>
    <t>Jeffrey Johnson</t>
  </si>
  <si>
    <t>wcasey@stephens-washington.org</t>
  </si>
  <si>
    <t>+1-366-941-1800x53759</t>
  </si>
  <si>
    <t>E1164</t>
  </si>
  <si>
    <t>Michael Powell</t>
  </si>
  <si>
    <t>bnelson@yahoo.com</t>
  </si>
  <si>
    <t>+1-900-489-6465x28092</t>
  </si>
  <si>
    <t>E1166</t>
  </si>
  <si>
    <t>E1167</t>
  </si>
  <si>
    <t>E1168</t>
  </si>
  <si>
    <t>E1169</t>
  </si>
  <si>
    <t>Daniel Murphy</t>
  </si>
  <si>
    <t>brittanydrake@howard.com</t>
  </si>
  <si>
    <t>513-422-8499</t>
  </si>
  <si>
    <t>E1170</t>
  </si>
  <si>
    <t>Jamie Walton</t>
  </si>
  <si>
    <t>marycochran@weaver-thompson.com</t>
  </si>
  <si>
    <t>908.926.1371</t>
  </si>
  <si>
    <t>E1171</t>
  </si>
  <si>
    <t>E1172</t>
  </si>
  <si>
    <t>Joshua Cooke</t>
  </si>
  <si>
    <t>halljeffery@woods.com</t>
  </si>
  <si>
    <t>+1-050-975-9230x450</t>
  </si>
  <si>
    <t>E1173</t>
  </si>
  <si>
    <t>E1174</t>
  </si>
  <si>
    <t>Nicole Herring</t>
  </si>
  <si>
    <t>hernandezjanet@schroeder.com</t>
  </si>
  <si>
    <t>(642)147-6492x5158</t>
  </si>
  <si>
    <t>E1175</t>
  </si>
  <si>
    <t>E1176</t>
  </si>
  <si>
    <t>Michael Elliott</t>
  </si>
  <si>
    <t>janet69@rogers.com</t>
  </si>
  <si>
    <t>(926)610-8573x278</t>
  </si>
  <si>
    <t>E1177</t>
  </si>
  <si>
    <t>Michael Wang</t>
  </si>
  <si>
    <t>fconner@stewart.org</t>
  </si>
  <si>
    <t>+1-814-761-7422x4386</t>
  </si>
  <si>
    <t>E1179</t>
  </si>
  <si>
    <t>Robert Oconnell</t>
  </si>
  <si>
    <t>david09@yahoo.com</t>
  </si>
  <si>
    <t>(491)801-7226x016</t>
  </si>
  <si>
    <t>E1180</t>
  </si>
  <si>
    <t>E1181</t>
  </si>
  <si>
    <t>Tina Sanders</t>
  </si>
  <si>
    <t>youngtoni@gmail.com</t>
  </si>
  <si>
    <t>168-006-1027x769</t>
  </si>
  <si>
    <t>E1182</t>
  </si>
  <si>
    <t>Angela Vaughn</t>
  </si>
  <si>
    <t>sean43@steele.com</t>
  </si>
  <si>
    <t>001-749-956-4122x0310</t>
  </si>
  <si>
    <t>E1183</t>
  </si>
  <si>
    <t>Ashley Barton</t>
  </si>
  <si>
    <t>williamssamuel@costa-wilkerson.info</t>
  </si>
  <si>
    <t>001-303-723-6831x472</t>
  </si>
  <si>
    <t>E1185</t>
  </si>
  <si>
    <t>E1186</t>
  </si>
  <si>
    <t>Jonathan Peterson</t>
  </si>
  <si>
    <t>amy17@hotmail.com</t>
  </si>
  <si>
    <t>001-840-767-8997x3080</t>
  </si>
  <si>
    <t>E1187</t>
  </si>
  <si>
    <t>Samantha Garcia</t>
  </si>
  <si>
    <t>shannonlloyd@phillips.com</t>
  </si>
  <si>
    <t>(958)146-7179x57602</t>
  </si>
  <si>
    <t>E1188</t>
  </si>
  <si>
    <t>Madison Poole</t>
  </si>
  <si>
    <t>petersonpamela@dennis.com</t>
  </si>
  <si>
    <t>375-738-3959x7246</t>
  </si>
  <si>
    <t>E1189</t>
  </si>
  <si>
    <t>E1190</t>
  </si>
  <si>
    <t>Debra Morton</t>
  </si>
  <si>
    <t>gmoore@harris-lee.net</t>
  </si>
  <si>
    <t>(743)380-0545x22801</t>
  </si>
  <si>
    <t>E1191</t>
  </si>
  <si>
    <t>Karen Graham</t>
  </si>
  <si>
    <t>kenneth10@yahoo.com</t>
  </si>
  <si>
    <t>619-318-3745x50842</t>
  </si>
  <si>
    <t>E1192</t>
  </si>
  <si>
    <t>Debra Christian</t>
  </si>
  <si>
    <t>briansmith@gmail.com</t>
  </si>
  <si>
    <t>001-891-077-1199x180</t>
  </si>
  <si>
    <t>E1193</t>
  </si>
  <si>
    <t>E1194</t>
  </si>
  <si>
    <t>E1195</t>
  </si>
  <si>
    <t>E1196</t>
  </si>
  <si>
    <t>Daniel Salinas</t>
  </si>
  <si>
    <t>ylopez@lopez-williams.info</t>
  </si>
  <si>
    <t>(667)850-7208x11556</t>
  </si>
  <si>
    <t>E1197</t>
  </si>
  <si>
    <t>E1200</t>
  </si>
  <si>
    <t>E1201</t>
  </si>
  <si>
    <t>Ricky Davis II</t>
  </si>
  <si>
    <t>averyshane@stanton.com</t>
  </si>
  <si>
    <t>001-054-851-0174x9075</t>
  </si>
  <si>
    <t>E1202</t>
  </si>
  <si>
    <t>Elizabeth Perkins</t>
  </si>
  <si>
    <t>rmiller@harris-carson.com</t>
  </si>
  <si>
    <t>998.935.4492</t>
  </si>
  <si>
    <t>E1203</t>
  </si>
  <si>
    <t>Joseph Coleman</t>
  </si>
  <si>
    <t>renee11@yahoo.com</t>
  </si>
  <si>
    <t>001-683-158-9357x126</t>
  </si>
  <si>
    <t>E1204</t>
  </si>
  <si>
    <t>Erin Warner</t>
  </si>
  <si>
    <t>melissa87@gmail.com</t>
  </si>
  <si>
    <t>(110)627-3715x86988</t>
  </si>
  <si>
    <t>E1205</t>
  </si>
  <si>
    <t>E1206</t>
  </si>
  <si>
    <t>Bryan Herrera</t>
  </si>
  <si>
    <t>hartcraig@dillon-beard.biz</t>
  </si>
  <si>
    <t>001-881-377-0285x196</t>
  </si>
  <si>
    <t>E1207</t>
  </si>
  <si>
    <t>E1209</t>
  </si>
  <si>
    <t>Brian Lee</t>
  </si>
  <si>
    <t>fosternatasha@hotmail.com</t>
  </si>
  <si>
    <t>001-701-851-0679x4975</t>
  </si>
  <si>
    <t>E1212</t>
  </si>
  <si>
    <t>E1213</t>
  </si>
  <si>
    <t>Katherine Salas</t>
  </si>
  <si>
    <t>uschroeder@yahoo.com</t>
  </si>
  <si>
    <t>+1-820-433-9718x95690</t>
  </si>
  <si>
    <t>E1214</t>
  </si>
  <si>
    <t>E1216</t>
  </si>
  <si>
    <t>E1217</t>
  </si>
  <si>
    <t>E1218</t>
  </si>
  <si>
    <t>Justin Torres</t>
  </si>
  <si>
    <t>jameswhitaker@wright.com</t>
  </si>
  <si>
    <t>405-786-1706</t>
  </si>
  <si>
    <t>E1219</t>
  </si>
  <si>
    <t>E1221</t>
  </si>
  <si>
    <t>Jeremy Dalton</t>
  </si>
  <si>
    <t>susanwells@hotmail.com</t>
  </si>
  <si>
    <t>+1-420-074-9465x398</t>
  </si>
  <si>
    <t>E1222</t>
  </si>
  <si>
    <t>E1223</t>
  </si>
  <si>
    <t>Theresa Clark</t>
  </si>
  <si>
    <t>kwilliams@vincent.com</t>
  </si>
  <si>
    <t>+1-855-474-3553x795</t>
  </si>
  <si>
    <t>E1224</t>
  </si>
  <si>
    <t>Matthew Moore</t>
  </si>
  <si>
    <t>denise80@smith.org</t>
  </si>
  <si>
    <t>2097002687</t>
  </si>
  <si>
    <t>E1225</t>
  </si>
  <si>
    <t>E1226</t>
  </si>
  <si>
    <t>Kirk Carter</t>
  </si>
  <si>
    <t>dyork@yahoo.com</t>
  </si>
  <si>
    <t>753-703-0453</t>
  </si>
  <si>
    <t>E1228</t>
  </si>
  <si>
    <t>Michael Bradshaw</t>
  </si>
  <si>
    <t>gabrielle71@yahoo.com</t>
  </si>
  <si>
    <t>036.149.8728</t>
  </si>
  <si>
    <t>E1229</t>
  </si>
  <si>
    <t>E1230</t>
  </si>
  <si>
    <t>E1231</t>
  </si>
  <si>
    <t>Susan Serrano</t>
  </si>
  <si>
    <t>jordan66@yahoo.com</t>
  </si>
  <si>
    <t>6056641877</t>
  </si>
  <si>
    <t>E1232</t>
  </si>
  <si>
    <t>Christopher Parker</t>
  </si>
  <si>
    <t>matthewreeves@nichols.com</t>
  </si>
  <si>
    <t>(803)046-8750x635</t>
  </si>
  <si>
    <t>E1233</t>
  </si>
  <si>
    <t>E1234</t>
  </si>
  <si>
    <t>Michael Lyons</t>
  </si>
  <si>
    <t>ruizjoyce@hotmail.com</t>
  </si>
  <si>
    <t>107-609-5431</t>
  </si>
  <si>
    <t>E1235</t>
  </si>
  <si>
    <t>Kathryn Snyder</t>
  </si>
  <si>
    <t>destiny35@garner.biz</t>
  </si>
  <si>
    <t>350.583.1997x1791</t>
  </si>
  <si>
    <t>E1236</t>
  </si>
  <si>
    <t>E1237</t>
  </si>
  <si>
    <t>David Davis</t>
  </si>
  <si>
    <t>delacruzbrandy@hotmail.com</t>
  </si>
  <si>
    <t>+1-611-080-4661x963</t>
  </si>
  <si>
    <t>E1240</t>
  </si>
  <si>
    <t>Andrew Avila</t>
  </si>
  <si>
    <t>robert97@stewart.com</t>
  </si>
  <si>
    <t>972.320.0249x6854</t>
  </si>
  <si>
    <t>E1241</t>
  </si>
  <si>
    <t>Matthew Moon</t>
  </si>
  <si>
    <t>lcook@walters-smith.com</t>
  </si>
  <si>
    <t>001-822-749-5450</t>
  </si>
  <si>
    <t>E1242</t>
  </si>
  <si>
    <t>E1243</t>
  </si>
  <si>
    <t>Brandon Bailey MD</t>
  </si>
  <si>
    <t>ysanford@gmail.com</t>
  </si>
  <si>
    <t>+1-779-599-5946x52170</t>
  </si>
  <si>
    <t>E1245</t>
  </si>
  <si>
    <t>E1246</t>
  </si>
  <si>
    <t>E1249</t>
  </si>
  <si>
    <t>E1251</t>
  </si>
  <si>
    <t>Olivia Harris</t>
  </si>
  <si>
    <t>richardsondebra@brooks.com</t>
  </si>
  <si>
    <t>317.912.8685x7872</t>
  </si>
  <si>
    <t>E1252</t>
  </si>
  <si>
    <t>Tanya Kim</t>
  </si>
  <si>
    <t>stanleydesiree@williams.biz</t>
  </si>
  <si>
    <t>587-774-9690x33373</t>
  </si>
  <si>
    <t>E1253</t>
  </si>
  <si>
    <t>E1254</t>
  </si>
  <si>
    <t>Cynthia Moore</t>
  </si>
  <si>
    <t>heathermccoy@fisher-garcia.net</t>
  </si>
  <si>
    <t>539.078.9567x76657</t>
  </si>
  <si>
    <t>E1255</t>
  </si>
  <si>
    <t>E1257</t>
  </si>
  <si>
    <t>Kathleen Moran</t>
  </si>
  <si>
    <t>daniel17@lynch.net</t>
  </si>
  <si>
    <t>001-439-284-0445x6690</t>
  </si>
  <si>
    <t>E1258</t>
  </si>
  <si>
    <t>Denise Davenport</t>
  </si>
  <si>
    <t>jade42@kelley.info</t>
  </si>
  <si>
    <t>826.333.7389x8775</t>
  </si>
  <si>
    <t>E1262</t>
  </si>
  <si>
    <t>Timothy Romero</t>
  </si>
  <si>
    <t>michael56@wilson.com</t>
  </si>
  <si>
    <t>(636)186-3715x9741</t>
  </si>
  <si>
    <t>E1263</t>
  </si>
  <si>
    <t>E1264</t>
  </si>
  <si>
    <t>E1267</t>
  </si>
  <si>
    <t>E1268</t>
  </si>
  <si>
    <t>E1269</t>
  </si>
  <si>
    <t>Patrick Thornton</t>
  </si>
  <si>
    <t>timothyfreeman@alexander-brown.com</t>
  </si>
  <si>
    <t>+1-676-291-6032x484</t>
  </si>
  <si>
    <t>E1270</t>
  </si>
  <si>
    <t>Jasmin Alvarado</t>
  </si>
  <si>
    <t>tiffanysantiago@stone-watts.org</t>
  </si>
  <si>
    <t>+1-137-681-5118x56724</t>
  </si>
  <si>
    <t>E1271</t>
  </si>
  <si>
    <t>Veronica Simpson</t>
  </si>
  <si>
    <t>pstanley@reed-rhodes.biz</t>
  </si>
  <si>
    <t>807.017.6563</t>
  </si>
  <si>
    <t>E1272</t>
  </si>
  <si>
    <t>E1273</t>
  </si>
  <si>
    <t>E1276</t>
  </si>
  <si>
    <t>E1277</t>
  </si>
  <si>
    <t>Marie Christian</t>
  </si>
  <si>
    <t>hawkinsaaron@gmail.com</t>
  </si>
  <si>
    <t>5313122068</t>
  </si>
  <si>
    <t>E1278</t>
  </si>
  <si>
    <t>E1279</t>
  </si>
  <si>
    <t>Nathan Malone</t>
  </si>
  <si>
    <t>velasquezmegan@yahoo.com</t>
  </si>
  <si>
    <t>315.520.6506</t>
  </si>
  <si>
    <t>E1282</t>
  </si>
  <si>
    <t>E1283</t>
  </si>
  <si>
    <t>Shelia Wallace</t>
  </si>
  <si>
    <t>ylewis@love.biz</t>
  </si>
  <si>
    <t>091.436.3910</t>
  </si>
  <si>
    <t>E1284</t>
  </si>
  <si>
    <t>Stephanie Williams</t>
  </si>
  <si>
    <t>bartonshannon@lawrence.com</t>
  </si>
  <si>
    <t>(574)326-3039</t>
  </si>
  <si>
    <t>E1286</t>
  </si>
  <si>
    <t>Joseph Knight</t>
  </si>
  <si>
    <t>hughescaroline@gordon-cruz.org</t>
  </si>
  <si>
    <t>803.396.8527</t>
  </si>
  <si>
    <t>E1287</t>
  </si>
  <si>
    <t>Carolyn Miller</t>
  </si>
  <si>
    <t>raymond54@ballard-taylor.org</t>
  </si>
  <si>
    <t>+1-017-130-2321x2983</t>
  </si>
  <si>
    <t>E1288</t>
  </si>
  <si>
    <t>Lisa Allen</t>
  </si>
  <si>
    <t>jennifer83@gmail.com</t>
  </si>
  <si>
    <t>816.742.3362</t>
  </si>
  <si>
    <t>E1289</t>
  </si>
  <si>
    <t>E1291</t>
  </si>
  <si>
    <t>Stephanie Byrd</t>
  </si>
  <si>
    <t>millsanthony@gmail.com</t>
  </si>
  <si>
    <t>(824)674-7468</t>
  </si>
  <si>
    <t>E1292</t>
  </si>
  <si>
    <t>Jeremy Reed</t>
  </si>
  <si>
    <t>gonzalezkaren@terrell.com</t>
  </si>
  <si>
    <t>+1-715-273-2300x857</t>
  </si>
  <si>
    <t>E1293</t>
  </si>
  <si>
    <t>Margaret Coleman</t>
  </si>
  <si>
    <t>vaughnkenneth@johnson.net</t>
  </si>
  <si>
    <t>(665)674-9160x1692</t>
  </si>
  <si>
    <t>E1295</t>
  </si>
  <si>
    <t>John Young</t>
  </si>
  <si>
    <t>tammy00@hotmail.com</t>
  </si>
  <si>
    <t>705.024.9724</t>
  </si>
  <si>
    <t>E1297</t>
  </si>
  <si>
    <t>William Barrett</t>
  </si>
  <si>
    <t>kari89@parsons.com</t>
  </si>
  <si>
    <t>362.644.8869x46119</t>
  </si>
  <si>
    <t>E1298</t>
  </si>
  <si>
    <t>Keith Jennings</t>
  </si>
  <si>
    <t>tonyajones@gmail.com</t>
  </si>
  <si>
    <t>001-524-364-0270x11686</t>
  </si>
  <si>
    <t>E1299</t>
  </si>
  <si>
    <t>Amber Obrien</t>
  </si>
  <si>
    <t>rwilliams@baker.com</t>
  </si>
  <si>
    <t>+1-462-252-2372x8179</t>
  </si>
  <si>
    <t>E1300</t>
  </si>
  <si>
    <t>TANNER MITCHELL DDS</t>
  </si>
  <si>
    <t>jmckinney@gmail.com</t>
  </si>
  <si>
    <t>230.234.6791</t>
  </si>
  <si>
    <t>E1301</t>
  </si>
  <si>
    <t>Heather Fields</t>
  </si>
  <si>
    <t>candice94@tyler-pierce.com</t>
  </si>
  <si>
    <t>+1-214-161-4150x9377</t>
  </si>
  <si>
    <t>E1303</t>
  </si>
  <si>
    <t>Sara Fuller</t>
  </si>
  <si>
    <t>zdaniels@bailey.com</t>
  </si>
  <si>
    <t>759.655.5535x6690</t>
  </si>
  <si>
    <t>E1304</t>
  </si>
  <si>
    <t>E1306</t>
  </si>
  <si>
    <t>Edward Burgess</t>
  </si>
  <si>
    <t>caldwellsean@austin.com</t>
  </si>
  <si>
    <t>+1-769-156-7164x932</t>
  </si>
  <si>
    <t>E1307</t>
  </si>
  <si>
    <t>Carlos Ryan</t>
  </si>
  <si>
    <t>cruzamber@yahoo.com</t>
  </si>
  <si>
    <t>980.271.4872x71783</t>
  </si>
  <si>
    <t>E1308</t>
  </si>
  <si>
    <t>E1309</t>
  </si>
  <si>
    <t>Dawn Summers</t>
  </si>
  <si>
    <t>vaughangary@hotmail.com</t>
  </si>
  <si>
    <t>471.287.1539</t>
  </si>
  <si>
    <t>E1312</t>
  </si>
  <si>
    <t>Shannon Ramsey</t>
  </si>
  <si>
    <t>brownlaura@jones.biz</t>
  </si>
  <si>
    <t>(655)289-9316x0875</t>
  </si>
  <si>
    <t>E1313</t>
  </si>
  <si>
    <t>Tracy Ballard</t>
  </si>
  <si>
    <t>bmccoy@yahoo.com</t>
  </si>
  <si>
    <t>(437)729-4209</t>
  </si>
  <si>
    <t>E1314</t>
  </si>
  <si>
    <t>Richard Smith</t>
  </si>
  <si>
    <t>inunez@may.com</t>
  </si>
  <si>
    <t>481-497-3746x05233</t>
  </si>
  <si>
    <t>E1315</t>
  </si>
  <si>
    <t>E1317</t>
  </si>
  <si>
    <t>Ashley Hall</t>
  </si>
  <si>
    <t>amandataylor@yahoo.com</t>
  </si>
  <si>
    <t>292.774.2333x059</t>
  </si>
  <si>
    <t>E1319</t>
  </si>
  <si>
    <t>Connie Brown</t>
  </si>
  <si>
    <t>kennetheaton@hotmail.com</t>
  </si>
  <si>
    <t>859-626-3013</t>
  </si>
  <si>
    <t>E1320</t>
  </si>
  <si>
    <t>Susan Turner</t>
  </si>
  <si>
    <t>spencerangela@gmail.com</t>
  </si>
  <si>
    <t>(749)261-7647x5011</t>
  </si>
  <si>
    <t>E1322</t>
  </si>
  <si>
    <t>Johnathan Davis</t>
  </si>
  <si>
    <t>gwhitehead@martin.org</t>
  </si>
  <si>
    <t>001-192-676-4921x518</t>
  </si>
  <si>
    <t>E1324</t>
  </si>
  <si>
    <t>Natalie Bautista</t>
  </si>
  <si>
    <t>dannylambert@hotmail.com</t>
  </si>
  <si>
    <t>+1-131-292-0875</t>
  </si>
  <si>
    <t>E1325</t>
  </si>
  <si>
    <t>E1326</t>
  </si>
  <si>
    <t>Brett Burns</t>
  </si>
  <si>
    <t>enewman@powers-king.com</t>
  </si>
  <si>
    <t>845-826-0340</t>
  </si>
  <si>
    <t>E1327</t>
  </si>
  <si>
    <t>Trevor Johnson</t>
  </si>
  <si>
    <t>michael31@yahoo.com</t>
  </si>
  <si>
    <t>487.297.5859x88310</t>
  </si>
  <si>
    <t>E1328</t>
  </si>
  <si>
    <t>Jeremy Sampson</t>
  </si>
  <si>
    <t>louishayes@hopkins.org</t>
  </si>
  <si>
    <t>032.432.9839</t>
  </si>
  <si>
    <t>E1329</t>
  </si>
  <si>
    <t>Ariana Jennings</t>
  </si>
  <si>
    <t>susan20@yahoo.com</t>
  </si>
  <si>
    <t>(429)618-4462x671</t>
  </si>
  <si>
    <t>E1330</t>
  </si>
  <si>
    <t>Vanessa Howard</t>
  </si>
  <si>
    <t>jenniferdavidson@larsen-taylor.com</t>
  </si>
  <si>
    <t>628-314-3598x926</t>
  </si>
  <si>
    <t>E1332</t>
  </si>
  <si>
    <t>Jordan Bates</t>
  </si>
  <si>
    <t>thompsoncatherine@yahoo.com</t>
  </si>
  <si>
    <t>861-515-5423</t>
  </si>
  <si>
    <t>E1333</t>
  </si>
  <si>
    <t>Linda Smith</t>
  </si>
  <si>
    <t>josemercado@luna.net</t>
  </si>
  <si>
    <t>016-361-1284x971</t>
  </si>
  <si>
    <t>E1335</t>
  </si>
  <si>
    <t>Andrea Hubbard</t>
  </si>
  <si>
    <t>michaelwalker@hotmail.com</t>
  </si>
  <si>
    <t>+1-679-240-8222x694</t>
  </si>
  <si>
    <t>E1337</t>
  </si>
  <si>
    <t>E1338</t>
  </si>
  <si>
    <t>Scott Thomas</t>
  </si>
  <si>
    <t>seanwhite@hopkins.info</t>
  </si>
  <si>
    <t>(901)487-0682</t>
  </si>
  <si>
    <t>E1339</t>
  </si>
  <si>
    <t>David Thompson</t>
  </si>
  <si>
    <t>E1340</t>
  </si>
  <si>
    <t>Allison Smith</t>
  </si>
  <si>
    <t>jim38@yahoo.com</t>
  </si>
  <si>
    <t>+1-909-728-3215x28506</t>
  </si>
  <si>
    <t>E1341</t>
  </si>
  <si>
    <t>E1342</t>
  </si>
  <si>
    <t>Anthony Harmon</t>
  </si>
  <si>
    <t>padillaadrienne@yahoo.com</t>
  </si>
  <si>
    <t>9634807970</t>
  </si>
  <si>
    <t>E1343</t>
  </si>
  <si>
    <t>Nichole Alvarez</t>
  </si>
  <si>
    <t>nicholasgray@hotmail.com</t>
  </si>
  <si>
    <t>(097)545-1052x650</t>
  </si>
  <si>
    <t>E1345</t>
  </si>
  <si>
    <t>Theresa Williams</t>
  </si>
  <si>
    <t>shawdon@gmail.com</t>
  </si>
  <si>
    <t>2437654562</t>
  </si>
  <si>
    <t>E1346</t>
  </si>
  <si>
    <t>Sharon Boyd</t>
  </si>
  <si>
    <t>robertsonjuan@lopez.org</t>
  </si>
  <si>
    <t>+1-417-722-5605</t>
  </si>
  <si>
    <t>E1347</t>
  </si>
  <si>
    <t>E1348</t>
  </si>
  <si>
    <t>E1349</t>
  </si>
  <si>
    <t>Theodore Jones Jr.</t>
  </si>
  <si>
    <t>crystalwilliams@thomas.net</t>
  </si>
  <si>
    <t>(258)030-5690</t>
  </si>
  <si>
    <t>E1353</t>
  </si>
  <si>
    <t>Michael Farrell</t>
  </si>
  <si>
    <t>shanehaney@jackson-greer.org</t>
  </si>
  <si>
    <t>6684335670</t>
  </si>
  <si>
    <t>E1354</t>
  </si>
  <si>
    <t>Patricia Le</t>
  </si>
  <si>
    <t>cindydixon@ramsey.info</t>
  </si>
  <si>
    <t>604.145.4563x50200</t>
  </si>
  <si>
    <t>E1356</t>
  </si>
  <si>
    <t>Jesse Perry</t>
  </si>
  <si>
    <t>thompsonrachel@williams.com</t>
  </si>
  <si>
    <t>554.110.8255x5989</t>
  </si>
  <si>
    <t>E1357</t>
  </si>
  <si>
    <t>Jeffery Ortega</t>
  </si>
  <si>
    <t>mhopkins@carey.biz</t>
  </si>
  <si>
    <t>(343)961-1291x093</t>
  </si>
  <si>
    <t>E1358</t>
  </si>
  <si>
    <t>Christian Leblanc</t>
  </si>
  <si>
    <t>nancy86@gmail.com</t>
  </si>
  <si>
    <t>711.895.4738</t>
  </si>
  <si>
    <t>E1360</t>
  </si>
  <si>
    <t>Parker Cain</t>
  </si>
  <si>
    <t>eanderson@kent.com</t>
  </si>
  <si>
    <t>688.029.4240x9036</t>
  </si>
  <si>
    <t>E1364</t>
  </si>
  <si>
    <t>Kenneth Lewis</t>
  </si>
  <si>
    <t>E1366</t>
  </si>
  <si>
    <t>E1367</t>
  </si>
  <si>
    <t>Holly Farmer</t>
  </si>
  <si>
    <t>seanlyons@garcia.biz</t>
  </si>
  <si>
    <t>439-627-3652x71727</t>
  </si>
  <si>
    <t>E1368</t>
  </si>
  <si>
    <t>E1369</t>
  </si>
  <si>
    <t>E1371</t>
  </si>
  <si>
    <t>Debra White</t>
  </si>
  <si>
    <t>ramseysarah@mendez-meyer.org</t>
  </si>
  <si>
    <t>(900)185-1327</t>
  </si>
  <si>
    <t>E1372</t>
  </si>
  <si>
    <t>Ellen Morgan</t>
  </si>
  <si>
    <t>daniellegonzales@jefferson.com</t>
  </si>
  <si>
    <t>001-972-457-2308x48100</t>
  </si>
  <si>
    <t>E1373</t>
  </si>
  <si>
    <t>E1374</t>
  </si>
  <si>
    <t>Charles Schultz</t>
  </si>
  <si>
    <t>christopherhill@gomez-foster.org</t>
  </si>
  <si>
    <t>(625)436-1721x31451</t>
  </si>
  <si>
    <t>E1375</t>
  </si>
  <si>
    <t>Paul Lewis</t>
  </si>
  <si>
    <t>mclaughlincasey@dunn.net</t>
  </si>
  <si>
    <t>+1-515-109-2268x592</t>
  </si>
  <si>
    <t>E1376</t>
  </si>
  <si>
    <t>Glen Wood</t>
  </si>
  <si>
    <t>sylvia43@hotmail.com</t>
  </si>
  <si>
    <t>+1-624-945-1475x41022</t>
  </si>
  <si>
    <t>E1378</t>
  </si>
  <si>
    <t>E1379</t>
  </si>
  <si>
    <t>E1383</t>
  </si>
  <si>
    <t>E1384</t>
  </si>
  <si>
    <t>Aimee Turner</t>
  </si>
  <si>
    <t>christopher51@velazquez.org</t>
  </si>
  <si>
    <t>310-962-2728</t>
  </si>
  <si>
    <t>E1385</t>
  </si>
  <si>
    <t>Chad Scott</t>
  </si>
  <si>
    <t>staceyvega@gmail.com</t>
  </si>
  <si>
    <t>001-476-570-4120x092</t>
  </si>
  <si>
    <t>E1386</t>
  </si>
  <si>
    <t>Adam Burgess</t>
  </si>
  <si>
    <t>jimmyallen@yahoo.com</t>
  </si>
  <si>
    <t>206.678.4984x36241</t>
  </si>
  <si>
    <t>E1387</t>
  </si>
  <si>
    <t>E1389</t>
  </si>
  <si>
    <t>E1390</t>
  </si>
  <si>
    <t>Thomas Atkins</t>
  </si>
  <si>
    <t>christine79@yahoo.com</t>
  </si>
  <si>
    <t>830.341.9909</t>
  </si>
  <si>
    <t>E1391</t>
  </si>
  <si>
    <t>E1392</t>
  </si>
  <si>
    <t>E1393</t>
  </si>
  <si>
    <t>Robert Montgomery</t>
  </si>
  <si>
    <t>cayers@hotmail.com</t>
  </si>
  <si>
    <t>904.227.1133x2288</t>
  </si>
  <si>
    <t>E1394</t>
  </si>
  <si>
    <t>Tamara Davis</t>
  </si>
  <si>
    <t>xdalton@gmail.com</t>
  </si>
  <si>
    <t>001-985-725-4596x0633</t>
  </si>
  <si>
    <t>E1395</t>
  </si>
  <si>
    <t>E1396</t>
  </si>
  <si>
    <t>Jennifer Collins</t>
  </si>
  <si>
    <t>wolfesteve@hotmail.com</t>
  </si>
  <si>
    <t>524.214.9551x127</t>
  </si>
  <si>
    <t>E1397</t>
  </si>
  <si>
    <t>Gary Jackson</t>
  </si>
  <si>
    <t>craignicolas@nguyen.com</t>
  </si>
  <si>
    <t>747-219-7054x669</t>
  </si>
  <si>
    <t>E1398</t>
  </si>
  <si>
    <t>Ashley Hicks</t>
  </si>
  <si>
    <t>joel79@diaz-jimenez.com</t>
  </si>
  <si>
    <t>+1-275-895-5168x74090</t>
  </si>
  <si>
    <t>E1399</t>
  </si>
  <si>
    <t>E1400</t>
  </si>
  <si>
    <t>E1401</t>
  </si>
  <si>
    <t>Craig Morrison</t>
  </si>
  <si>
    <t>zgonzalez@hotmail.com</t>
  </si>
  <si>
    <t>559-737-1470</t>
  </si>
  <si>
    <t>E1402</t>
  </si>
  <si>
    <t>Mary Thompson</t>
  </si>
  <si>
    <t>lshaffer@porter-cowan.net</t>
  </si>
  <si>
    <t>+1-272-359-0960</t>
  </si>
  <si>
    <t>E1403</t>
  </si>
  <si>
    <t>Kathleen Webster</t>
  </si>
  <si>
    <t>jevans@hotmail.com</t>
  </si>
  <si>
    <t>(673)030-6442x121</t>
  </si>
  <si>
    <t>E1405</t>
  </si>
  <si>
    <t>Madison Weber</t>
  </si>
  <si>
    <t>kgarcia@lewis.info</t>
  </si>
  <si>
    <t>001-423-567-7826x59608</t>
  </si>
  <si>
    <t>E1406</t>
  </si>
  <si>
    <t>E1407</t>
  </si>
  <si>
    <t>E1408</t>
  </si>
  <si>
    <t>Anthony Romero</t>
  </si>
  <si>
    <t>tiffanymitchell@nunez-freeman.info</t>
  </si>
  <si>
    <t>368.296.3533</t>
  </si>
  <si>
    <t>E1409</t>
  </si>
  <si>
    <t>Jesse Brown</t>
  </si>
  <si>
    <t>daustin@frye.com</t>
  </si>
  <si>
    <t>+1-905-504-4817x76655</t>
  </si>
  <si>
    <t>E1410</t>
  </si>
  <si>
    <t>E1411</t>
  </si>
  <si>
    <t>Lisa Hunter</t>
  </si>
  <si>
    <t>jeremy54@adams.info</t>
  </si>
  <si>
    <t>+1-286-646-4911x110</t>
  </si>
  <si>
    <t>E1412</t>
  </si>
  <si>
    <t>Julian Conner</t>
  </si>
  <si>
    <t>lgutierrez@gmail.com</t>
  </si>
  <si>
    <t>+1-617-981-7890x463</t>
  </si>
  <si>
    <t>E1413</t>
  </si>
  <si>
    <t>E1414</t>
  </si>
  <si>
    <t>Erica Alvarez</t>
  </si>
  <si>
    <t>bkelley@warren-ferrell.com</t>
  </si>
  <si>
    <t>+1-605-384-4446x3060</t>
  </si>
  <si>
    <t>E1415</t>
  </si>
  <si>
    <t>E1416</t>
  </si>
  <si>
    <t>Gwendolyn Klein</t>
  </si>
  <si>
    <t>johnmitchell@hotmail.com</t>
  </si>
  <si>
    <t>863.960.9626</t>
  </si>
  <si>
    <t>E1417</t>
  </si>
  <si>
    <t>Carrie Wright</t>
  </si>
  <si>
    <t>alisonjackson@alvarado.info</t>
  </si>
  <si>
    <t>001-265-826-3128x1964</t>
  </si>
  <si>
    <t>E1418</t>
  </si>
  <si>
    <t>E1419</t>
  </si>
  <si>
    <t>Jake Campbell</t>
  </si>
  <si>
    <t>omills@hotmail.com</t>
  </si>
  <si>
    <t>9819602752</t>
  </si>
  <si>
    <t>E1421</t>
  </si>
  <si>
    <t>E1422</t>
  </si>
  <si>
    <t>Michael Mitchell</t>
  </si>
  <si>
    <t>mauriceharrison@watts.info</t>
  </si>
  <si>
    <t>211-753-6170x617</t>
  </si>
  <si>
    <t>E1423</t>
  </si>
  <si>
    <t>Mary Escobar</t>
  </si>
  <si>
    <t>cannonlauren@hotmail.com</t>
  </si>
  <si>
    <t>+1-136-657-2240x2990</t>
  </si>
  <si>
    <t>E1425</t>
  </si>
  <si>
    <t>Gregory Ponce</t>
  </si>
  <si>
    <t>josehenderson@gmail.com</t>
  </si>
  <si>
    <t>390-808-8235</t>
  </si>
  <si>
    <t>E1426</t>
  </si>
  <si>
    <t>Jenna Larson</t>
  </si>
  <si>
    <t>deborah84@yahoo.com</t>
  </si>
  <si>
    <t>305-231-2447</t>
  </si>
  <si>
    <t>E1427</t>
  </si>
  <si>
    <t>Emily Bennett</t>
  </si>
  <si>
    <t>whitekeith@gibson.info</t>
  </si>
  <si>
    <t>158.477.6863</t>
  </si>
  <si>
    <t>E1428</t>
  </si>
  <si>
    <t>Robin Santiago</t>
  </si>
  <si>
    <t>andrew08@lopez.com</t>
  </si>
  <si>
    <t>234-619-9423x767</t>
  </si>
  <si>
    <t>E1430</t>
  </si>
  <si>
    <t>Maria Henderson</t>
  </si>
  <si>
    <t>alexisrobinson@collins-lloyd.com</t>
  </si>
  <si>
    <t>8496498560</t>
  </si>
  <si>
    <t>E1431</t>
  </si>
  <si>
    <t>Jack White</t>
  </si>
  <si>
    <t>riveramegan@gmail.com</t>
  </si>
  <si>
    <t>256-253-1355</t>
  </si>
  <si>
    <t>E1432</t>
  </si>
  <si>
    <t>Travis Tucker</t>
  </si>
  <si>
    <t>kimberly18@white-huang.com</t>
  </si>
  <si>
    <t>(510)505-3795</t>
  </si>
  <si>
    <t>E1434</t>
  </si>
  <si>
    <t>E1435</t>
  </si>
  <si>
    <t>Sophia Johnson</t>
  </si>
  <si>
    <t>boydtina@yahoo.com</t>
  </si>
  <si>
    <t>611-729-5963x904</t>
  </si>
  <si>
    <t>E1436</t>
  </si>
  <si>
    <t>Ralph Anderson</t>
  </si>
  <si>
    <t>sharon20@hotmail.com</t>
  </si>
  <si>
    <t>9074260880</t>
  </si>
  <si>
    <t>E1437</t>
  </si>
  <si>
    <t>E1438</t>
  </si>
  <si>
    <t>Rhonda Martin</t>
  </si>
  <si>
    <t>cynthianguyen@bauer.com</t>
  </si>
  <si>
    <t>6477159103</t>
  </si>
  <si>
    <t>E1440</t>
  </si>
  <si>
    <t>Jeremy Mitchell</t>
  </si>
  <si>
    <t>nathandavis@gmail.com</t>
  </si>
  <si>
    <t>+1-004-010-4145</t>
  </si>
  <si>
    <t>E1441</t>
  </si>
  <si>
    <t>Joann Ferguson</t>
  </si>
  <si>
    <t>parksmatthew@hotmail.com</t>
  </si>
  <si>
    <t>001-964-229-7125x296</t>
  </si>
  <si>
    <t>E1443</t>
  </si>
  <si>
    <t>Holly Valentine</t>
  </si>
  <si>
    <t>kellyeric@moody.net</t>
  </si>
  <si>
    <t>001-415-833-1170x30376</t>
  </si>
  <si>
    <t>E1444</t>
  </si>
  <si>
    <t>Mrs. Diane Reyes</t>
  </si>
  <si>
    <t>bquinn@hotmail.com</t>
  </si>
  <si>
    <t>715.398.8547</t>
  </si>
  <si>
    <t>E1445</t>
  </si>
  <si>
    <t>Tracy Montoya</t>
  </si>
  <si>
    <t>jennifer40@yahoo.com</t>
  </si>
  <si>
    <t>+1-281-235-6798x3631</t>
  </si>
  <si>
    <t>E1446</t>
  </si>
  <si>
    <t>Brenda Wright</t>
  </si>
  <si>
    <t>amy73@hotmail.com</t>
  </si>
  <si>
    <t>624-912-7113x072</t>
  </si>
  <si>
    <t>E1449</t>
  </si>
  <si>
    <t>Phillip Nelson</t>
  </si>
  <si>
    <t>bgross@vincent.com</t>
  </si>
  <si>
    <t>629.489.7861</t>
  </si>
  <si>
    <t>E1450</t>
  </si>
  <si>
    <t>E1451</t>
  </si>
  <si>
    <t>Courtney Hayes</t>
  </si>
  <si>
    <t>marcus51@mills.com</t>
  </si>
  <si>
    <t>+1-666-134-7323x549</t>
  </si>
  <si>
    <t>E1452</t>
  </si>
  <si>
    <t>E1453</t>
  </si>
  <si>
    <t>Cynthia Vang</t>
  </si>
  <si>
    <t>brandon39@hotmail.com</t>
  </si>
  <si>
    <t>207.650.2412x095</t>
  </si>
  <si>
    <t>E1454</t>
  </si>
  <si>
    <t>Alfred Galvan</t>
  </si>
  <si>
    <t>conradjason@hebert-collier.info</t>
  </si>
  <si>
    <t>907.371.0094x3882</t>
  </si>
  <si>
    <t>E1455</t>
  </si>
  <si>
    <t>E1456</t>
  </si>
  <si>
    <t>E1457</t>
  </si>
  <si>
    <t>Brenda Thornton</t>
  </si>
  <si>
    <t>amandalopez@sandoval.net</t>
  </si>
  <si>
    <t>(703)965-3136x148</t>
  </si>
  <si>
    <t>E1458</t>
  </si>
  <si>
    <t>E1459</t>
  </si>
  <si>
    <t>E1460</t>
  </si>
  <si>
    <t>Kelsey Rodriguez</t>
  </si>
  <si>
    <t>diane89@yahoo.com</t>
  </si>
  <si>
    <t>982-474-1407x0349</t>
  </si>
  <si>
    <t>E1461</t>
  </si>
  <si>
    <t>E1463</t>
  </si>
  <si>
    <t>Taylor Carlson</t>
  </si>
  <si>
    <t>michael77@yahoo.com</t>
  </si>
  <si>
    <t>7536661449</t>
  </si>
  <si>
    <t>E1464</t>
  </si>
  <si>
    <t>Jose Allen</t>
  </si>
  <si>
    <t>birdcaitlin@taylor.com</t>
  </si>
  <si>
    <t>296-592-3426x8344</t>
  </si>
  <si>
    <t>E1465</t>
  </si>
  <si>
    <t>Jeffrey Mendez</t>
  </si>
  <si>
    <t>andrew48@hawkins.com</t>
  </si>
  <si>
    <t>497-826-6128</t>
  </si>
  <si>
    <t>E1466</t>
  </si>
  <si>
    <t>Jason Beck</t>
  </si>
  <si>
    <t>eric45@hotmail.com</t>
  </si>
  <si>
    <t>585.756.7667x080</t>
  </si>
  <si>
    <t>E1467</t>
  </si>
  <si>
    <t>William Jones</t>
  </si>
  <si>
    <t>jonathanevans@ross.com</t>
  </si>
  <si>
    <t>001-612-943-9852x98940</t>
  </si>
  <si>
    <t>E1468</t>
  </si>
  <si>
    <t>E1469</t>
  </si>
  <si>
    <t>Jeanette Harrison</t>
  </si>
  <si>
    <t>benjamin96@deleon.com</t>
  </si>
  <si>
    <t>975-019-8038x2872</t>
  </si>
  <si>
    <t>E1470</t>
  </si>
  <si>
    <t>E1471</t>
  </si>
  <si>
    <t>Richard Cooper</t>
  </si>
  <si>
    <t>hbrown@flores.com</t>
  </si>
  <si>
    <t>(918)133-1708</t>
  </si>
  <si>
    <t>E1472</t>
  </si>
  <si>
    <t>E1473</t>
  </si>
  <si>
    <t>Evelyn Williams</t>
  </si>
  <si>
    <t>walkerkeith@yahoo.com</t>
  </si>
  <si>
    <t>620-223-2883</t>
  </si>
  <si>
    <t>E1474</t>
  </si>
  <si>
    <t>Robin Thompson</t>
  </si>
  <si>
    <t>matthewalvarez@williams.net</t>
  </si>
  <si>
    <t>744.197.5466x1766</t>
  </si>
  <si>
    <t>E1475</t>
  </si>
  <si>
    <t>Julie Dominguez</t>
  </si>
  <si>
    <t>kathleencastillo@gmail.com</t>
  </si>
  <si>
    <t>(047)196-0940</t>
  </si>
  <si>
    <t>E1476</t>
  </si>
  <si>
    <t>Robin Brown</t>
  </si>
  <si>
    <t>mpearson@hotmail.com</t>
  </si>
  <si>
    <t>+1-970-527-7402x5883</t>
  </si>
  <si>
    <t>E1477</t>
  </si>
  <si>
    <t>Judith Carter</t>
  </si>
  <si>
    <t>charlesfrank@cohen-johnston.com</t>
  </si>
  <si>
    <t>(868)122-5957x244</t>
  </si>
  <si>
    <t>E1479</t>
  </si>
  <si>
    <t>Kaylee Hays</t>
  </si>
  <si>
    <t>carrillogary@yahoo.com</t>
  </si>
  <si>
    <t>(996)100-2311x775</t>
  </si>
  <si>
    <t>E1480</t>
  </si>
  <si>
    <t>E1481</t>
  </si>
  <si>
    <t>Howard Norman</t>
  </si>
  <si>
    <t>eric11@brown.com</t>
  </si>
  <si>
    <t>+1-025-176-2983x347</t>
  </si>
  <si>
    <t>E1482</t>
  </si>
  <si>
    <t>Evelyn Martinez</t>
  </si>
  <si>
    <t>heather14@ruiz-rivera.net</t>
  </si>
  <si>
    <t>433.268.3190x130</t>
  </si>
  <si>
    <t>E1483</t>
  </si>
  <si>
    <t>Steve Paul</t>
  </si>
  <si>
    <t>amychristensen@webb.com</t>
  </si>
  <si>
    <t>(056)981-5287</t>
  </si>
  <si>
    <t>E1484</t>
  </si>
  <si>
    <t>E1485</t>
  </si>
  <si>
    <t>E1487</t>
  </si>
  <si>
    <t>E1488</t>
  </si>
  <si>
    <t>Bobby Guerrero</t>
  </si>
  <si>
    <t>yhall@hotmail.com</t>
  </si>
  <si>
    <t>001-740-056-4350</t>
  </si>
  <si>
    <t>E1489</t>
  </si>
  <si>
    <t>E1491</t>
  </si>
  <si>
    <t>E1492</t>
  </si>
  <si>
    <t>William Gould</t>
  </si>
  <si>
    <t>garrettnatasha@gmail.com</t>
  </si>
  <si>
    <t>066.266.8217x1955</t>
  </si>
  <si>
    <t>E1494</t>
  </si>
  <si>
    <t>Meghan Cisneros</t>
  </si>
  <si>
    <t>edwardprince@hotmail.com</t>
  </si>
  <si>
    <t>001-890-030-1027x2405</t>
  </si>
  <si>
    <t>E1495</t>
  </si>
  <si>
    <t>E1496</t>
  </si>
  <si>
    <t>E1498</t>
  </si>
  <si>
    <t>E1499</t>
  </si>
  <si>
    <t>Transaction_ID</t>
  </si>
  <si>
    <t>Product</t>
  </si>
  <si>
    <t>Quantity</t>
  </si>
  <si>
    <t>Unit_Price</t>
  </si>
  <si>
    <t>Total_Sale</t>
  </si>
  <si>
    <t>Sale_Date</t>
  </si>
  <si>
    <t>T2000</t>
  </si>
  <si>
    <t>Asus Mouse</t>
  </si>
  <si>
    <t>T2001</t>
  </si>
  <si>
    <t>Dell Monitor</t>
  </si>
  <si>
    <t>T2002</t>
  </si>
  <si>
    <t>HP Laptop</t>
  </si>
  <si>
    <t>T2003</t>
  </si>
  <si>
    <t>T2004</t>
  </si>
  <si>
    <t>T2005</t>
  </si>
  <si>
    <t>T2006</t>
  </si>
  <si>
    <t>Canon Printer</t>
  </si>
  <si>
    <t>T2007</t>
  </si>
  <si>
    <t>Lenovo Keyboard</t>
  </si>
  <si>
    <t>T2008</t>
  </si>
  <si>
    <t>T2009</t>
  </si>
  <si>
    <t>T2010</t>
  </si>
  <si>
    <t>T2011</t>
  </si>
  <si>
    <t>Apple iPad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</si>
  <si>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</si>
  <si>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</si>
  <si>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</si>
  <si>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</si>
  <si>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</si>
  <si>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</si>
  <si>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</si>
  <si>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</si>
  <si>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</si>
  <si>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</si>
  <si>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</si>
  <si>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</si>
  <si>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</si>
  <si>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</si>
  <si>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</si>
  <si>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</si>
  <si>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</si>
  <si>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</si>
  <si>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</si>
  <si>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</si>
  <si>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</si>
  <si>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</si>
  <si>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</si>
  <si>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</si>
  <si>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</si>
  <si>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</si>
  <si>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</si>
  <si>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</si>
  <si>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</si>
  <si>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</si>
  <si>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</si>
  <si>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</si>
  <si>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</si>
  <si>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</si>
  <si>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</si>
  <si>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</si>
  <si>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</si>
  <si>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</si>
  <si>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</si>
  <si>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</si>
  <si>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</si>
  <si>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</si>
  <si>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</si>
  <si>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</si>
  <si>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</si>
  <si>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</si>
  <si>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</si>
  <si>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</si>
  <si>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</si>
  <si>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</si>
  <si>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</si>
  <si>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</si>
  <si>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</si>
  <si>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</si>
  <si>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</si>
  <si>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</si>
  <si>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</si>
  <si>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</si>
  <si>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</si>
  <si>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</si>
  <si>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</si>
  <si>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</si>
  <si>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</si>
  <si>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</si>
  <si>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</si>
  <si>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</si>
  <si>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</si>
  <si>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</si>
  <si>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</si>
  <si>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</si>
  <si>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</si>
  <si>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</si>
  <si>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</si>
  <si>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</si>
  <si>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</si>
  <si>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</si>
  <si>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</si>
  <si>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</si>
  <si>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</si>
  <si>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</si>
  <si>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</si>
  <si>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</si>
  <si>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</si>
  <si>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</si>
  <si>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</si>
  <si>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</si>
  <si>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</si>
  <si>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</si>
  <si>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</si>
  <si>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</si>
  <si>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</si>
  <si>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</si>
  <si>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</si>
  <si>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</si>
  <si>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</si>
  <si>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</si>
  <si>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</si>
  <si>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</si>
  <si>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</si>
  <si>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</si>
  <si>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</si>
  <si>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</si>
  <si>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</si>
  <si>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</si>
  <si>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</si>
  <si>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</si>
  <si>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</si>
  <si>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</si>
  <si>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</si>
  <si>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</si>
  <si>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</si>
  <si>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</si>
  <si>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</si>
  <si>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</si>
  <si>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</si>
  <si>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</si>
  <si>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</si>
  <si>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</si>
  <si>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</si>
  <si>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</si>
  <si>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</si>
  <si>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</si>
  <si>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</si>
  <si>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</si>
  <si>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</si>
  <si>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</si>
  <si>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</si>
  <si>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</si>
  <si>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</si>
  <si>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</si>
  <si>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</si>
  <si>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</si>
  <si>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</si>
  <si>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</si>
  <si>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</si>
  <si>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</si>
  <si>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</si>
  <si>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</si>
  <si>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</si>
  <si>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</si>
  <si>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</si>
  <si>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</si>
  <si>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</si>
  <si>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</si>
  <si>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</si>
  <si>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</si>
  <si>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</si>
  <si>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</si>
  <si>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</si>
  <si>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</si>
  <si>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</si>
  <si>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</si>
  <si>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</si>
  <si>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</si>
  <si>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</si>
  <si>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</si>
  <si>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</si>
  <si>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</si>
  <si>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</si>
  <si>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</si>
  <si>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</si>
  <si>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</si>
  <si>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</si>
  <si>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</si>
  <si>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</si>
  <si>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</si>
  <si>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</si>
  <si>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</si>
  <si>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</si>
  <si>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</si>
  <si>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</si>
  <si>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</si>
  <si>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</si>
  <si>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</si>
  <si>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</si>
  <si>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</si>
  <si>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</si>
  <si>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</si>
  <si>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</si>
  <si>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</si>
  <si>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</si>
  <si>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</si>
  <si>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</si>
  <si>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</si>
  <si>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</si>
  <si>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</si>
  <si>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</si>
  <si>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</si>
  <si>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</si>
  <si>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</si>
  <si>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</si>
  <si>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</si>
  <si>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</si>
  <si>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</si>
  <si>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</si>
  <si>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</si>
  <si>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</si>
  <si>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</si>
  <si>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</si>
  <si>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</si>
  <si>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</si>
  <si>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</si>
  <si>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</si>
  <si>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</si>
  <si>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</si>
  <si>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</si>
  <si>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</si>
  <si>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</si>
  <si>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</si>
  <si>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</si>
  <si>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</si>
  <si>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</si>
  <si>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</si>
  <si>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</si>
  <si>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</si>
  <si>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</si>
  <si>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</si>
  <si>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</si>
  <si>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</si>
  <si>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</si>
  <si>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</si>
  <si>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</si>
  <si>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</si>
  <si>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</si>
  <si>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</si>
  <si>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</si>
  <si>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</si>
  <si>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</si>
  <si>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</si>
  <si>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</si>
  <si>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</si>
  <si>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</si>
  <si>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</si>
  <si>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</si>
  <si>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</si>
  <si>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</si>
  <si>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</si>
  <si>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</si>
  <si>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</si>
  <si>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</si>
  <si>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</si>
  <si>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</si>
  <si>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</si>
  <si>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</si>
  <si>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</si>
  <si>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</si>
  <si>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</si>
  <si>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</si>
  <si>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</si>
  <si>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</si>
  <si>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</si>
  <si>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</si>
  <si>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</si>
  <si>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</si>
  <si>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</si>
  <si>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</si>
  <si>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</si>
  <si>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</si>
  <si>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</si>
  <si>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</si>
  <si>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</si>
  <si>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</si>
  <si>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</si>
  <si>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</si>
  <si>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</si>
  <si>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</si>
  <si>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</si>
  <si>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</si>
  <si>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</si>
  <si>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</si>
  <si>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</si>
  <si>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</si>
  <si>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</si>
  <si>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</si>
  <si>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</si>
  <si>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</si>
  <si>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</si>
  <si>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</si>
  <si>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</si>
  <si>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</si>
  <si>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</si>
  <si>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</si>
  <si>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</si>
  <si>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</si>
  <si>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</si>
  <si>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</si>
  <si>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</si>
  <si>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</si>
  <si>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</si>
  <si>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</si>
  <si>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</si>
  <si>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</si>
  <si>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</si>
  <si>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</si>
  <si>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</si>
  <si>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</si>
  <si>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</si>
  <si>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</si>
  <si>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</si>
  <si>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</si>
  <si>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</si>
  <si>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</si>
  <si>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</si>
  <si>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</si>
  <si>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</si>
  <si>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</si>
  <si>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</si>
  <si>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</si>
  <si>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</si>
  <si>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</si>
  <si>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</si>
  <si>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</si>
  <si>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</si>
  <si>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</si>
  <si>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</si>
  <si>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</si>
  <si>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</si>
  <si>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</si>
  <si>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</si>
  <si>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</si>
  <si>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</si>
  <si>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</si>
  <si>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</si>
  <si>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</si>
  <si>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</si>
  <si>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</si>
  <si>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</si>
  <si>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</si>
  <si>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</si>
  <si>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</si>
  <si>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</si>
  <si>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</si>
  <si>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</si>
  <si>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</si>
  <si>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</si>
  <si>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</si>
  <si>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</si>
  <si>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</si>
  <si>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</si>
  <si>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</si>
  <si>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</si>
  <si>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</si>
  <si>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</si>
  <si>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</si>
  <si>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</si>
  <si>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</si>
  <si>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</si>
  <si>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</si>
  <si>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</si>
  <si>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</si>
  <si>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</si>
  <si>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</si>
  <si>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</si>
  <si>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</si>
  <si>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</si>
  <si>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</si>
  <si>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</si>
  <si>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</si>
  <si>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</si>
  <si>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</si>
  <si>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</si>
  <si>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</si>
  <si>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</si>
  <si>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</si>
  <si>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</si>
  <si>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</si>
  <si>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</si>
  <si>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</si>
  <si>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</si>
  <si>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</si>
  <si>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</si>
  <si>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</si>
  <si>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</si>
  <si>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</si>
  <si>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</si>
  <si>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</si>
  <si>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</si>
  <si>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</si>
  <si>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</si>
  <si>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</si>
  <si>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</si>
  <si>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</si>
  <si>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</si>
  <si>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</si>
  <si>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</si>
  <si>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</si>
  <si>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</si>
  <si>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</si>
  <si>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</si>
  <si>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</si>
  <si>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</si>
  <si>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</si>
  <si>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</si>
  <si>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</si>
  <si>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</si>
  <si>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</si>
  <si>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</si>
  <si>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</si>
  <si>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</si>
  <si>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</si>
  <si>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</si>
  <si>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</si>
  <si>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</si>
  <si>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</si>
  <si>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</si>
  <si>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</si>
  <si>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</si>
  <si>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</si>
  <si>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</si>
  <si>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</si>
  <si>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</si>
  <si>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</si>
  <si>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</si>
  <si>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</si>
  <si>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</si>
  <si>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</si>
  <si>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</si>
  <si>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</si>
  <si>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</si>
  <si>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</si>
  <si>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</si>
  <si>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</si>
  <si>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</si>
  <si>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</si>
  <si>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</si>
  <si>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</si>
  <si>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</si>
  <si>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</si>
  <si>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</si>
  <si>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</si>
  <si>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</si>
  <si>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</si>
  <si>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</si>
  <si>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</si>
  <si>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</si>
  <si>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</si>
  <si>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</si>
  <si>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</si>
  <si>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</si>
  <si>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</si>
  <si>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</si>
  <si>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</si>
  <si>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</si>
  <si>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</si>
  <si>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</si>
  <si>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</si>
  <si>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</si>
  <si>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</si>
  <si>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</si>
  <si>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</si>
  <si>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</si>
  <si>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</si>
  <si>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</si>
  <si>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</si>
  <si>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</si>
  <si>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</si>
  <si>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</si>
  <si>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</si>
  <si>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</si>
  <si>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</si>
  <si>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</si>
  <si>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</si>
  <si>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</si>
  <si>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</si>
  <si>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</si>
  <si>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</si>
  <si>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</si>
  <si>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</si>
  <si>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</si>
  <si>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</si>
  <si>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</si>
  <si>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</si>
  <si>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</si>
  <si>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</si>
  <si>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</si>
  <si>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</si>
  <si>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</si>
  <si>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</si>
  <si>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</si>
  <si>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</si>
  <si>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</si>
  <si>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</si>
  <si>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</si>
  <si>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</si>
  <si>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</si>
  <si>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</si>
  <si>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</si>
  <si>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</si>
  <si>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Cust_ID</t>
  </si>
  <si>
    <t>Customer_Name</t>
  </si>
  <si>
    <t>Phone</t>
  </si>
  <si>
    <t>City</t>
  </si>
  <si>
    <t>Country</t>
  </si>
  <si>
    <t>C3000</t>
  </si>
  <si>
    <t>christopher huber</t>
  </si>
  <si>
    <t>qobrien@yahoo.com</t>
  </si>
  <si>
    <t>0230091561</t>
  </si>
  <si>
    <t>Kolkata</t>
  </si>
  <si>
    <t>UK</t>
  </si>
  <si>
    <t>C3001</t>
  </si>
  <si>
    <t>Hannah Sanders</t>
  </si>
  <si>
    <t>garzalaura@johnston.com</t>
  </si>
  <si>
    <t>Hyderabad</t>
  </si>
  <si>
    <t>India</t>
  </si>
  <si>
    <t>C3002</t>
  </si>
  <si>
    <t>Stephen Larsen</t>
  </si>
  <si>
    <t>tochoa@hotmail.com</t>
  </si>
  <si>
    <t>C3003</t>
  </si>
  <si>
    <t>Lindsay Mcdaniel</t>
  </si>
  <si>
    <t>deborah77@boyer.biz</t>
  </si>
  <si>
    <t>Delhi</t>
  </si>
  <si>
    <t>Canada</t>
  </si>
  <si>
    <t>C3004</t>
  </si>
  <si>
    <t>Derek Lewis</t>
  </si>
  <si>
    <t>ashleyjohnson@garcia-knapp.com</t>
  </si>
  <si>
    <t>Mumbai</t>
  </si>
  <si>
    <t>C3005</t>
  </si>
  <si>
    <t>Jennifer Hart</t>
  </si>
  <si>
    <t>michael55@gmail.com</t>
  </si>
  <si>
    <t>C3006</t>
  </si>
  <si>
    <t>Michael Jenkins</t>
  </si>
  <si>
    <t>ubowers@yahoo.com</t>
  </si>
  <si>
    <t>C3007</t>
  </si>
  <si>
    <t>Jessica Green</t>
  </si>
  <si>
    <t>jasontownsend@hotmail.com</t>
  </si>
  <si>
    <t>Bangalore</t>
  </si>
  <si>
    <t>C3008</t>
  </si>
  <si>
    <t>John Robinson</t>
  </si>
  <si>
    <t>xmullins@gmail.com</t>
  </si>
  <si>
    <t>USA</t>
  </si>
  <si>
    <t>C3009</t>
  </si>
  <si>
    <t>Amber West</t>
  </si>
  <si>
    <t>invalid_email</t>
  </si>
  <si>
    <t>C3010</t>
  </si>
  <si>
    <t>Shawn Herrera</t>
  </si>
  <si>
    <t>cookchristina@hotmail.com</t>
  </si>
  <si>
    <t>C3011</t>
  </si>
  <si>
    <t>Ashley Donaldson</t>
  </si>
  <si>
    <t>maria11@sullivan.biz</t>
  </si>
  <si>
    <t>C3012</t>
  </si>
  <si>
    <t>Beverly Fernandez</t>
  </si>
  <si>
    <t>melissa75@shaffer-huang.com</t>
  </si>
  <si>
    <t>Pune</t>
  </si>
  <si>
    <t>C3013</t>
  </si>
  <si>
    <t>Alisha Gray</t>
  </si>
  <si>
    <t>allen39@stout-graves.net</t>
  </si>
  <si>
    <t>C3014</t>
  </si>
  <si>
    <t>Felicia Gomez</t>
  </si>
  <si>
    <t>C3015</t>
  </si>
  <si>
    <t>Amy Williams</t>
  </si>
  <si>
    <t>raymonddominguez@gmail.com</t>
  </si>
  <si>
    <t>Chennai</t>
  </si>
  <si>
    <t>C3016</t>
  </si>
  <si>
    <t>Joseph Galloway</t>
  </si>
  <si>
    <t>dawsonrobin@sullivan.net</t>
  </si>
  <si>
    <t>C3017</t>
  </si>
  <si>
    <t>Jennifer Robbins</t>
  </si>
  <si>
    <t>yanderson@gmail.com</t>
  </si>
  <si>
    <t>C3018</t>
  </si>
  <si>
    <t>Christopher Brooks</t>
  </si>
  <si>
    <t>nguyenjeffrey@gmail.com</t>
  </si>
  <si>
    <t>C3019</t>
  </si>
  <si>
    <t>Juan Wright</t>
  </si>
  <si>
    <t>elizabethhill@walker-neal.com</t>
  </si>
  <si>
    <t>C3020</t>
  </si>
  <si>
    <t>Ryan Fischer</t>
  </si>
  <si>
    <t>C3021</t>
  </si>
  <si>
    <t>Kathryn Moody</t>
  </si>
  <si>
    <t>scottcain@smith.com</t>
  </si>
  <si>
    <t>C3022</t>
  </si>
  <si>
    <t>Douglas Johnson</t>
  </si>
  <si>
    <t>jperry@hotmail.com</t>
  </si>
  <si>
    <t>C3023</t>
  </si>
  <si>
    <t>Melissa Johnson</t>
  </si>
  <si>
    <t>hlopez@ross.biz</t>
  </si>
  <si>
    <t>C3024</t>
  </si>
  <si>
    <t>Robin Gray</t>
  </si>
  <si>
    <t>C3025</t>
  </si>
  <si>
    <t>Robert Mcdowell</t>
  </si>
  <si>
    <t>linda46@yahoo.com</t>
  </si>
  <si>
    <t>C3026</t>
  </si>
  <si>
    <t>Angela Wagner</t>
  </si>
  <si>
    <t>lukekelly@hotmail.com</t>
  </si>
  <si>
    <t>C3027</t>
  </si>
  <si>
    <t>Morgan Smith</t>
  </si>
  <si>
    <t>michelle38@anderson.net</t>
  </si>
  <si>
    <t>C3028</t>
  </si>
  <si>
    <t>Kimberly Ellison</t>
  </si>
  <si>
    <t>daniel93@hotmail.com</t>
  </si>
  <si>
    <t>C3029</t>
  </si>
  <si>
    <t>Kevin Myers</t>
  </si>
  <si>
    <t>stevenandrews@gmail.com</t>
  </si>
  <si>
    <t>C3030</t>
  </si>
  <si>
    <t>Shannon Glover</t>
  </si>
  <si>
    <t>bcrawford@gmail.com</t>
  </si>
  <si>
    <t>C3031</t>
  </si>
  <si>
    <t>Patrick Turner</t>
  </si>
  <si>
    <t>castroangelica@huang.com</t>
  </si>
  <si>
    <t>6136385277</t>
  </si>
  <si>
    <t>C3032</t>
  </si>
  <si>
    <t>Brett Costa</t>
  </si>
  <si>
    <t>cameron49@valentine-luna.org</t>
  </si>
  <si>
    <t>C3033</t>
  </si>
  <si>
    <t>Jamie Jordan</t>
  </si>
  <si>
    <t>ipadilla@yahoo.com</t>
  </si>
  <si>
    <t>C3034</t>
  </si>
  <si>
    <t>Jason Ramirez</t>
  </si>
  <si>
    <t>scollins@torres.net</t>
  </si>
  <si>
    <t>C3035</t>
  </si>
  <si>
    <t>Michael Hunter</t>
  </si>
  <si>
    <t>katiebaird@hotmail.com</t>
  </si>
  <si>
    <t>C3036</t>
  </si>
  <si>
    <t>Willie Luna</t>
  </si>
  <si>
    <t>arellanobrian@yahoo.com</t>
  </si>
  <si>
    <t>C3037</t>
  </si>
  <si>
    <t>Pamela Klein</t>
  </si>
  <si>
    <t>austinalyssa@martin.com</t>
  </si>
  <si>
    <t>C3038</t>
  </si>
  <si>
    <t>Kenneth Johnson</t>
  </si>
  <si>
    <t>C3039</t>
  </si>
  <si>
    <t>Jillian Woods</t>
  </si>
  <si>
    <t>bankstroy@rivera.biz</t>
  </si>
  <si>
    <t>C3040</t>
  </si>
  <si>
    <t>eric thomas</t>
  </si>
  <si>
    <t>ejames@gmail.com</t>
  </si>
  <si>
    <t>C3041</t>
  </si>
  <si>
    <t>Angela Hoffman</t>
  </si>
  <si>
    <t>codykelly@hotmail.com</t>
  </si>
  <si>
    <t>C3042</t>
  </si>
  <si>
    <t>Tom Watkins</t>
  </si>
  <si>
    <t>victor24@yahoo.com</t>
  </si>
  <si>
    <t>C3043</t>
  </si>
  <si>
    <t>Jamie Massey</t>
  </si>
  <si>
    <t>michaelholland@morgan.net</t>
  </si>
  <si>
    <t>C3044</t>
  </si>
  <si>
    <t>Sara Hodges</t>
  </si>
  <si>
    <t>suarezbruce@hotmail.com</t>
  </si>
  <si>
    <t>C3045</t>
  </si>
  <si>
    <t>Johnny Jenkins</t>
  </si>
  <si>
    <t>cody08@smith.com</t>
  </si>
  <si>
    <t>C3046</t>
  </si>
  <si>
    <t>Sandra Johnson</t>
  </si>
  <si>
    <t>michele23@oliver.com</t>
  </si>
  <si>
    <t>C3047</t>
  </si>
  <si>
    <t>Linda Savage</t>
  </si>
  <si>
    <t>carolberry@mccarthy-hobbs.com</t>
  </si>
  <si>
    <t>C3048</t>
  </si>
  <si>
    <t>Daniel Hart</t>
  </si>
  <si>
    <t>C3049</t>
  </si>
  <si>
    <t>Jonathan Chung II</t>
  </si>
  <si>
    <t>cjohnson@beasley.com</t>
  </si>
  <si>
    <t>C3050</t>
  </si>
  <si>
    <t>John Peters</t>
  </si>
  <si>
    <t>baileyhenry@hotmail.com</t>
  </si>
  <si>
    <t>C3051</t>
  </si>
  <si>
    <t>Morgan Morse</t>
  </si>
  <si>
    <t>C3052</t>
  </si>
  <si>
    <t>Billy Martinez</t>
  </si>
  <si>
    <t>jimenezcarrie@mora.net</t>
  </si>
  <si>
    <t>C3053</t>
  </si>
  <si>
    <t>Joseph Martinez</t>
  </si>
  <si>
    <t>qraymond@hotmail.com</t>
  </si>
  <si>
    <t>C3054</t>
  </si>
  <si>
    <t>Sergio Wilson</t>
  </si>
  <si>
    <t>john23@lopez-powell.com</t>
  </si>
  <si>
    <t>C3055</t>
  </si>
  <si>
    <t>Kathleen Sims</t>
  </si>
  <si>
    <t>qcochran@webster.com</t>
  </si>
  <si>
    <t>C3056</t>
  </si>
  <si>
    <t>Brenda Sawyer</t>
  </si>
  <si>
    <t>psherman@gmail.com</t>
  </si>
  <si>
    <t>C3057</t>
  </si>
  <si>
    <t>Adam Wilson</t>
  </si>
  <si>
    <t>C3058</t>
  </si>
  <si>
    <t>Michelle Beard MD</t>
  </si>
  <si>
    <t>derek34@hotmail.com</t>
  </si>
  <si>
    <t>C3059</t>
  </si>
  <si>
    <t>Steve Elliott</t>
  </si>
  <si>
    <t>fgraham@yahoo.com</t>
  </si>
  <si>
    <t>C3060</t>
  </si>
  <si>
    <t>Dylan Cohen</t>
  </si>
  <si>
    <t>jgarcia@lynch-torres.com</t>
  </si>
  <si>
    <t>C3061</t>
  </si>
  <si>
    <t>Tiffany Watson</t>
  </si>
  <si>
    <t>lopezchristopher@adkins.com</t>
  </si>
  <si>
    <t>C3062</t>
  </si>
  <si>
    <t>Kaitlyn Clark</t>
  </si>
  <si>
    <t>williamskevin@bell.com</t>
  </si>
  <si>
    <t>C3063</t>
  </si>
  <si>
    <t>Paul Ferrell</t>
  </si>
  <si>
    <t>williammaldonado@gmail.com</t>
  </si>
  <si>
    <t>C3064</t>
  </si>
  <si>
    <t>Carly Espinoza</t>
  </si>
  <si>
    <t>bryantjacob@joseph.com</t>
  </si>
  <si>
    <t>C3065</t>
  </si>
  <si>
    <t>Evan White</t>
  </si>
  <si>
    <t>ashleyaustin@gmail.com</t>
  </si>
  <si>
    <t>2453931321</t>
  </si>
  <si>
    <t>C3066</t>
  </si>
  <si>
    <t>Willie Smith</t>
  </si>
  <si>
    <t>rachelwilson@yahoo.com</t>
  </si>
  <si>
    <t>C3067</t>
  </si>
  <si>
    <t>Christina Davis</t>
  </si>
  <si>
    <t>C3068</t>
  </si>
  <si>
    <t>Brandon Weber</t>
  </si>
  <si>
    <t>donnaherman@joyce-benitez.com</t>
  </si>
  <si>
    <t>C3069</t>
  </si>
  <si>
    <t>Andrea Fields</t>
  </si>
  <si>
    <t>jwilliams@hotmail.com</t>
  </si>
  <si>
    <t>C3070</t>
  </si>
  <si>
    <t>Haley Smith</t>
  </si>
  <si>
    <t>C3071</t>
  </si>
  <si>
    <t>Duane Buck</t>
  </si>
  <si>
    <t>nicole69@shields.com</t>
  </si>
  <si>
    <t>C3072</t>
  </si>
  <si>
    <t>Nicholas Richardson</t>
  </si>
  <si>
    <t>perryrobert@yahoo.com</t>
  </si>
  <si>
    <t>C3073</t>
  </si>
  <si>
    <t>Taylor Hoffman</t>
  </si>
  <si>
    <t>aking@schwartz.com</t>
  </si>
  <si>
    <t>C3074</t>
  </si>
  <si>
    <t>Christina Watkins</t>
  </si>
  <si>
    <t>walshdarius@jones-herrera.com</t>
  </si>
  <si>
    <t>C3075</t>
  </si>
  <si>
    <t>Daniel White</t>
  </si>
  <si>
    <t>smitchell@yahoo.com</t>
  </si>
  <si>
    <t>C3076</t>
  </si>
  <si>
    <t>Beth Boyd</t>
  </si>
  <si>
    <t>juarezralph@gmail.com</t>
  </si>
  <si>
    <t>C3077</t>
  </si>
  <si>
    <t>Janet Johnston</t>
  </si>
  <si>
    <t>hgonzalez@harrison.com</t>
  </si>
  <si>
    <t>C3078</t>
  </si>
  <si>
    <t>Lisa Levy</t>
  </si>
  <si>
    <t>whitakerjack@drake.info</t>
  </si>
  <si>
    <t>C3079</t>
  </si>
  <si>
    <t>Lisa Blankenship</t>
  </si>
  <si>
    <t>charper@peck.com</t>
  </si>
  <si>
    <t>C3080</t>
  </si>
  <si>
    <t>aaron hall</t>
  </si>
  <si>
    <t>carrollstacy@yahoo.com</t>
  </si>
  <si>
    <t>5397871375</t>
  </si>
  <si>
    <t>C3081</t>
  </si>
  <si>
    <t>Timothy Mendez</t>
  </si>
  <si>
    <t>michaelgonzalez@hotmail.com</t>
  </si>
  <si>
    <t>C3082</t>
  </si>
  <si>
    <t>John Smith</t>
  </si>
  <si>
    <t>sjames@brown.info</t>
  </si>
  <si>
    <t>C3083</t>
  </si>
  <si>
    <t>Wayne Taylor</t>
  </si>
  <si>
    <t>pjones@rice.com</t>
  </si>
  <si>
    <t>C3084</t>
  </si>
  <si>
    <t>Jessica Ruiz</t>
  </si>
  <si>
    <t>0304436199</t>
  </si>
  <si>
    <t>C3085</t>
  </si>
  <si>
    <t>Peter Allen</t>
  </si>
  <si>
    <t>cohenrobert@smith.com</t>
  </si>
  <si>
    <t>C3086</t>
  </si>
  <si>
    <t>Raymond Mccarthy</t>
  </si>
  <si>
    <t>thomasdale@gmail.com</t>
  </si>
  <si>
    <t>C3087</t>
  </si>
  <si>
    <t>Ryan Stewart</t>
  </si>
  <si>
    <t>dsmith@mack-wilson.com</t>
  </si>
  <si>
    <t>C3088</t>
  </si>
  <si>
    <t>Larry Lewis</t>
  </si>
  <si>
    <t>smithmadison@pineda-newman.com</t>
  </si>
  <si>
    <t>C3089</t>
  </si>
  <si>
    <t>Mark Ramirez</t>
  </si>
  <si>
    <t>pkent@hotmail.com</t>
  </si>
  <si>
    <t>C3090</t>
  </si>
  <si>
    <t>Jeffrey Alexander</t>
  </si>
  <si>
    <t>C3091</t>
  </si>
  <si>
    <t>Danielle Martinez</t>
  </si>
  <si>
    <t>jeffrey42@yahoo.com</t>
  </si>
  <si>
    <t>2748124211</t>
  </si>
  <si>
    <t>C3092</t>
  </si>
  <si>
    <t>Marissa Thompson</t>
  </si>
  <si>
    <t>michealsmith@yahoo.com</t>
  </si>
  <si>
    <t>C3093</t>
  </si>
  <si>
    <t>Savannah Townsend</t>
  </si>
  <si>
    <t>stevensjennifer@christian.com</t>
  </si>
  <si>
    <t>C3094</t>
  </si>
  <si>
    <t>Jeff Jensen</t>
  </si>
  <si>
    <t>afisher@quinn-wallace.biz</t>
  </si>
  <si>
    <t>C3095</t>
  </si>
  <si>
    <t>Tammie Lee</t>
  </si>
  <si>
    <t>matthew62@hotmail.com</t>
  </si>
  <si>
    <t>C3096</t>
  </si>
  <si>
    <t>Timothy Cowan</t>
  </si>
  <si>
    <t>jaylee@gould.org</t>
  </si>
  <si>
    <t>C3097</t>
  </si>
  <si>
    <t>Isaac Lee</t>
  </si>
  <si>
    <t>wkelley@yahoo.com</t>
  </si>
  <si>
    <t>C3098</t>
  </si>
  <si>
    <t>Erin Bartlett</t>
  </si>
  <si>
    <t>jason27@gmail.com</t>
  </si>
  <si>
    <t>C3099</t>
  </si>
  <si>
    <t>Kathryn Smith</t>
  </si>
  <si>
    <t>rebecca96@gmail.com</t>
  </si>
  <si>
    <t>C3100</t>
  </si>
  <si>
    <t>Matthew May</t>
  </si>
  <si>
    <t>matthewwu@cruz.info</t>
  </si>
  <si>
    <t>C3101</t>
  </si>
  <si>
    <t>Zachary Padilla</t>
  </si>
  <si>
    <t>paulestrada@terrell-becker.com</t>
  </si>
  <si>
    <t>C3102</t>
  </si>
  <si>
    <t>Anthony Armstrong</t>
  </si>
  <si>
    <t>edwardstewart@gmail.com</t>
  </si>
  <si>
    <t>C3103</t>
  </si>
  <si>
    <t>Mitchell Ruiz</t>
  </si>
  <si>
    <t>wstewart@schmidt.com</t>
  </si>
  <si>
    <t>C3104</t>
  </si>
  <si>
    <t>Jordan Thompson</t>
  </si>
  <si>
    <t>smithsamantha@rivera.com</t>
  </si>
  <si>
    <t>1507138067</t>
  </si>
  <si>
    <t>C3105</t>
  </si>
  <si>
    <t>Maria Gardner</t>
  </si>
  <si>
    <t>juliarubio@yahoo.com</t>
  </si>
  <si>
    <t>C3106</t>
  </si>
  <si>
    <t>Jacob Salazar</t>
  </si>
  <si>
    <t>cindy59@alvarez-padilla.com</t>
  </si>
  <si>
    <t>C3107</t>
  </si>
  <si>
    <t>Michele Thompson</t>
  </si>
  <si>
    <t>langernest@gmail.com</t>
  </si>
  <si>
    <t>C3108</t>
  </si>
  <si>
    <t>Angela Flowers</t>
  </si>
  <si>
    <t>C3109</t>
  </si>
  <si>
    <t>Jeremy Page</t>
  </si>
  <si>
    <t>nwilson@moore-tran.info</t>
  </si>
  <si>
    <t>C3110</t>
  </si>
  <si>
    <t>Scott Ramirez</t>
  </si>
  <si>
    <t>theresabeck@gmail.com</t>
  </si>
  <si>
    <t>C3111</t>
  </si>
  <si>
    <t>Mary Mclaughlin</t>
  </si>
  <si>
    <t>camposderek@yahoo.com</t>
  </si>
  <si>
    <t>C3112</t>
  </si>
  <si>
    <t>Michael Yoder</t>
  </si>
  <si>
    <t>xwoods@gmail.com</t>
  </si>
  <si>
    <t>C3113</t>
  </si>
  <si>
    <t>Caroline Andersen</t>
  </si>
  <si>
    <t>lrichards@yahoo.com</t>
  </si>
  <si>
    <t>C3114</t>
  </si>
  <si>
    <t>Holly Smith</t>
  </si>
  <si>
    <t>kpotts@blackwell-huerta.com</t>
  </si>
  <si>
    <t>C3115</t>
  </si>
  <si>
    <t>Jennifer Contreras</t>
  </si>
  <si>
    <t>dennisevans@rangel-rodriguez.com</t>
  </si>
  <si>
    <t>C3116</t>
  </si>
  <si>
    <t>Corey Juarez</t>
  </si>
  <si>
    <t>jennifer15@hotmail.com</t>
  </si>
  <si>
    <t>C3117</t>
  </si>
  <si>
    <t>Derek Thompson</t>
  </si>
  <si>
    <t>howellbrittany@gmail.com</t>
  </si>
  <si>
    <t>C3118</t>
  </si>
  <si>
    <t>Lee Barker</t>
  </si>
  <si>
    <t>james48@gmail.com</t>
  </si>
  <si>
    <t>C3119</t>
  </si>
  <si>
    <t>Mark Wilkinson</t>
  </si>
  <si>
    <t>rebecca03@hotmail.com</t>
  </si>
  <si>
    <t>C3120</t>
  </si>
  <si>
    <t>emily castro</t>
  </si>
  <si>
    <t>shane65@gmail.com</t>
  </si>
  <si>
    <t>1864482217</t>
  </si>
  <si>
    <t>C3121</t>
  </si>
  <si>
    <t>John Huff</t>
  </si>
  <si>
    <t>vhopkins@hotmail.com</t>
  </si>
  <si>
    <t>C3122</t>
  </si>
  <si>
    <t>Timothy Davis</t>
  </si>
  <si>
    <t>monicahouse@navarro.com</t>
  </si>
  <si>
    <t>C3123</t>
  </si>
  <si>
    <t>Catherine Miller</t>
  </si>
  <si>
    <t>rebeccajames@gmail.com</t>
  </si>
  <si>
    <t>C3124</t>
  </si>
  <si>
    <t>Mark Smith</t>
  </si>
  <si>
    <t>zrogers@hotmail.com</t>
  </si>
  <si>
    <t>C3125</t>
  </si>
  <si>
    <t>Adam Little</t>
  </si>
  <si>
    <t>izimmerman@yahoo.com</t>
  </si>
  <si>
    <t>C3126</t>
  </si>
  <si>
    <t>Shawn Harding</t>
  </si>
  <si>
    <t>tracyadams@yahoo.com</t>
  </si>
  <si>
    <t>C3127</t>
  </si>
  <si>
    <t>Michael Bender</t>
  </si>
  <si>
    <t>michelle10@drake.com</t>
  </si>
  <si>
    <t>C3128</t>
  </si>
  <si>
    <t>Nicole Rojas</t>
  </si>
  <si>
    <t>nathanielmoore@maxwell.com</t>
  </si>
  <si>
    <t>C3129</t>
  </si>
  <si>
    <t>James Mitchell</t>
  </si>
  <si>
    <t>molly91@aguilar.com</t>
  </si>
  <si>
    <t>C3130</t>
  </si>
  <si>
    <t>Karl Gutierrez</t>
  </si>
  <si>
    <t>browndominic@house.com</t>
  </si>
  <si>
    <t>C3131</t>
  </si>
  <si>
    <t>Denise Gonzalez</t>
  </si>
  <si>
    <t>omoody@williams.biz</t>
  </si>
  <si>
    <t>C3132</t>
  </si>
  <si>
    <t>Deanna Gonzales</t>
  </si>
  <si>
    <t>thomasgonzalez@yahoo.com</t>
  </si>
  <si>
    <t>C3133</t>
  </si>
  <si>
    <t>Henry Cox</t>
  </si>
  <si>
    <t>rroberts@hancock.com</t>
  </si>
  <si>
    <t>4588165025</t>
  </si>
  <si>
    <t>C3134</t>
  </si>
  <si>
    <t>Kelly Gallegos</t>
  </si>
  <si>
    <t>C3135</t>
  </si>
  <si>
    <t>Carolyn Herring</t>
  </si>
  <si>
    <t>terribaker@johnston.com</t>
  </si>
  <si>
    <t>9661771824</t>
  </si>
  <si>
    <t>C3136</t>
  </si>
  <si>
    <t>Brittney Carroll</t>
  </si>
  <si>
    <t>melindaavila@martin.org</t>
  </si>
  <si>
    <t>C3137</t>
  </si>
  <si>
    <t>Jessica Brewer DDS</t>
  </si>
  <si>
    <t>shunter@gmail.com</t>
  </si>
  <si>
    <t>C3138</t>
  </si>
  <si>
    <t>Gordon Schmitt</t>
  </si>
  <si>
    <t>madison38@gmail.com</t>
  </si>
  <si>
    <t>C3139</t>
  </si>
  <si>
    <t>Natalie Adams</t>
  </si>
  <si>
    <t>C3140</t>
  </si>
  <si>
    <t>Christine Robinson</t>
  </si>
  <si>
    <t>karen10@gmail.com</t>
  </si>
  <si>
    <t>C3141</t>
  </si>
  <si>
    <t>Thomas Holmes</t>
  </si>
  <si>
    <t>raven09@yahoo.com</t>
  </si>
  <si>
    <t>C3142</t>
  </si>
  <si>
    <t>Karen Mcdonald</t>
  </si>
  <si>
    <t>vsmith@davis.com</t>
  </si>
  <si>
    <t>C3143</t>
  </si>
  <si>
    <t>Justin Barrett</t>
  </si>
  <si>
    <t>jessica57@harmon-castillo.info</t>
  </si>
  <si>
    <t>C3144</t>
  </si>
  <si>
    <t>Erica Garcia</t>
  </si>
  <si>
    <t>vedwards@gmail.com</t>
  </si>
  <si>
    <t>C3145</t>
  </si>
  <si>
    <t>Steven Moore</t>
  </si>
  <si>
    <t>bradgomez@hobbs-nguyen.biz</t>
  </si>
  <si>
    <t>C3146</t>
  </si>
  <si>
    <t>George Leach</t>
  </si>
  <si>
    <t>C3147</t>
  </si>
  <si>
    <t>Hunter Martin</t>
  </si>
  <si>
    <t>jhayes@hotmail.com</t>
  </si>
  <si>
    <t>C3148</t>
  </si>
  <si>
    <t>Nicole Gonzales</t>
  </si>
  <si>
    <t>iherring@yahoo.com</t>
  </si>
  <si>
    <t>C3149</t>
  </si>
  <si>
    <t>Linda Neal</t>
  </si>
  <si>
    <t>reginaldsmith@hotmail.com</t>
  </si>
  <si>
    <t>C3150</t>
  </si>
  <si>
    <t>Kara Sanchez</t>
  </si>
  <si>
    <t>brittanywhite@smith.com</t>
  </si>
  <si>
    <t>C3151</t>
  </si>
  <si>
    <t>Lindsay Olson</t>
  </si>
  <si>
    <t>james76@gmail.com</t>
  </si>
  <si>
    <t>C3152</t>
  </si>
  <si>
    <t>Andrew Hickman</t>
  </si>
  <si>
    <t>C3153</t>
  </si>
  <si>
    <t>Timothy Mcintosh</t>
  </si>
  <si>
    <t>jeremy79@hotmail.com</t>
  </si>
  <si>
    <t>C3154</t>
  </si>
  <si>
    <t>Jeffery Adams</t>
  </si>
  <si>
    <t>kgraham@yahoo.com</t>
  </si>
  <si>
    <t>0644547523</t>
  </si>
  <si>
    <t>C3155</t>
  </si>
  <si>
    <t>Leslie Martin</t>
  </si>
  <si>
    <t>suzanne15@woods.info</t>
  </si>
  <si>
    <t>C3156</t>
  </si>
  <si>
    <t>Eric Carlson</t>
  </si>
  <si>
    <t>thenry@moore.biz</t>
  </si>
  <si>
    <t>C3157</t>
  </si>
  <si>
    <t>Kelly Lynn</t>
  </si>
  <si>
    <t>alyssapeterson@roman-shields.com</t>
  </si>
  <si>
    <t>C3158</t>
  </si>
  <si>
    <t>Brenda Alvarado</t>
  </si>
  <si>
    <t>smithmitchell@gmail.com</t>
  </si>
  <si>
    <t>C3159</t>
  </si>
  <si>
    <t>Amy Davis</t>
  </si>
  <si>
    <t>haley57@peters-ray.com</t>
  </si>
  <si>
    <t>C3160</t>
  </si>
  <si>
    <t>brenda reed</t>
  </si>
  <si>
    <t>tammyharrington@maddox.com</t>
  </si>
  <si>
    <t>C3161</t>
  </si>
  <si>
    <t>Joe Hopkins</t>
  </si>
  <si>
    <t>belliott@dixon-davis.com</t>
  </si>
  <si>
    <t>C3162</t>
  </si>
  <si>
    <t>morenosteven@hotmail.com</t>
  </si>
  <si>
    <t>5391287884</t>
  </si>
  <si>
    <t>C3163</t>
  </si>
  <si>
    <t>Scott Kim</t>
  </si>
  <si>
    <t>colekimberly@yahoo.com</t>
  </si>
  <si>
    <t>C3164</t>
  </si>
  <si>
    <t>Brittany Peters</t>
  </si>
  <si>
    <t>melanie07@walker.com</t>
  </si>
  <si>
    <t>4579271472</t>
  </si>
  <si>
    <t>C3165</t>
  </si>
  <si>
    <t>Abigail Moore</t>
  </si>
  <si>
    <t>yhoffman@yahoo.com</t>
  </si>
  <si>
    <t>C3166</t>
  </si>
  <si>
    <t>Joshua Long</t>
  </si>
  <si>
    <t>mgalloway@hotmail.com</t>
  </si>
  <si>
    <t>C3167</t>
  </si>
  <si>
    <t>John Bennett</t>
  </si>
  <si>
    <t>susanharper@phillips.com</t>
  </si>
  <si>
    <t>C3168</t>
  </si>
  <si>
    <t>David Stark</t>
  </si>
  <si>
    <t>krystalhenderson@gmail.com</t>
  </si>
  <si>
    <t>C3169</t>
  </si>
  <si>
    <t>Fernando Mcconnell</t>
  </si>
  <si>
    <t>james40@gmail.com</t>
  </si>
  <si>
    <t>C3170</t>
  </si>
  <si>
    <t>Gabriel Campbell</t>
  </si>
  <si>
    <t>richardsonkimberly@gmail.com</t>
  </si>
  <si>
    <t>C3171</t>
  </si>
  <si>
    <t>Shelley Carlson</t>
  </si>
  <si>
    <t>mpeters@yahoo.com</t>
  </si>
  <si>
    <t>C3172</t>
  </si>
  <si>
    <t>Hannah Santiago</t>
  </si>
  <si>
    <t>gilesstephen@gmail.com</t>
  </si>
  <si>
    <t>C3173</t>
  </si>
  <si>
    <t>Alyssa Blackwell</t>
  </si>
  <si>
    <t>frank25@gmail.com</t>
  </si>
  <si>
    <t>C3174</t>
  </si>
  <si>
    <t>David Cox</t>
  </si>
  <si>
    <t>parrishangela@thomas-decker.biz</t>
  </si>
  <si>
    <t>C3175</t>
  </si>
  <si>
    <t>April Greene</t>
  </si>
  <si>
    <t>C3176</t>
  </si>
  <si>
    <t>Billy Hall</t>
  </si>
  <si>
    <t>zlucas@nguyen.com</t>
  </si>
  <si>
    <t>C3177</t>
  </si>
  <si>
    <t>Mr. Eric Davis MD</t>
  </si>
  <si>
    <t>warebrian@hotmail.com</t>
  </si>
  <si>
    <t>C3178</t>
  </si>
  <si>
    <t>Chris Collins</t>
  </si>
  <si>
    <t>ebrown@hernandez.com</t>
  </si>
  <si>
    <t>5962571976</t>
  </si>
  <si>
    <t>C3179</t>
  </si>
  <si>
    <t>Karen Green</t>
  </si>
  <si>
    <t>fischerteresa@miller-cooper.com</t>
  </si>
  <si>
    <t>9320126578</t>
  </si>
  <si>
    <t>C3180</t>
  </si>
  <si>
    <t>Cassie Sanders</t>
  </si>
  <si>
    <t>hgardner@yahoo.com</t>
  </si>
  <si>
    <t>C3181</t>
  </si>
  <si>
    <t>Ashley Drake</t>
  </si>
  <si>
    <t>amydavis@gmail.com</t>
  </si>
  <si>
    <t>C3182</t>
  </si>
  <si>
    <t>Nicholas Rios</t>
  </si>
  <si>
    <t>dariuspruitt@yahoo.com</t>
  </si>
  <si>
    <t>C3183</t>
  </si>
  <si>
    <t>Robert Martin</t>
  </si>
  <si>
    <t>brianvega@williams.com</t>
  </si>
  <si>
    <t>C3184</t>
  </si>
  <si>
    <t>Jonathon Parks</t>
  </si>
  <si>
    <t>williamskatherine@gmail.com</t>
  </si>
  <si>
    <t>C3185</t>
  </si>
  <si>
    <t>Matthew Santiago</t>
  </si>
  <si>
    <t>marcus60@cannon.biz</t>
  </si>
  <si>
    <t>C3186</t>
  </si>
  <si>
    <t>Anthony Coleman</t>
  </si>
  <si>
    <t>gonzalezbarry@aguilar.com</t>
  </si>
  <si>
    <t>C3187</t>
  </si>
  <si>
    <t>Audrey Roman</t>
  </si>
  <si>
    <t>william26@hernandez.org</t>
  </si>
  <si>
    <t>C3188</t>
  </si>
  <si>
    <t>Kathryn Norman</t>
  </si>
  <si>
    <t>1788224731</t>
  </si>
  <si>
    <t>C3189</t>
  </si>
  <si>
    <t>Sarah Bonilla</t>
  </si>
  <si>
    <t>angela86@gmail.com</t>
  </si>
  <si>
    <t>C3190</t>
  </si>
  <si>
    <t>Christopher Coleman</t>
  </si>
  <si>
    <t>matthew54@wilson-mitchell.com</t>
  </si>
  <si>
    <t>C3191</t>
  </si>
  <si>
    <t>Sheila Miller</t>
  </si>
  <si>
    <t>hharris@gmail.com</t>
  </si>
  <si>
    <t>C3192</t>
  </si>
  <si>
    <t>Travis Zimmerman</t>
  </si>
  <si>
    <t>newtonmorgan@gmail.com</t>
  </si>
  <si>
    <t>C3193</t>
  </si>
  <si>
    <t>Jose Mendez</t>
  </si>
  <si>
    <t>oliviameyers@yahoo.com</t>
  </si>
  <si>
    <t>C3194</t>
  </si>
  <si>
    <t>Jessica Marshall</t>
  </si>
  <si>
    <t>hollandjerry@yahoo.com</t>
  </si>
  <si>
    <t>C3195</t>
  </si>
  <si>
    <t>Sean Stevens</t>
  </si>
  <si>
    <t>collinsjavier@dalton.info</t>
  </si>
  <si>
    <t>C3196</t>
  </si>
  <si>
    <t>Kyle Wood</t>
  </si>
  <si>
    <t>stephen69@gmail.com</t>
  </si>
  <si>
    <t>C3197</t>
  </si>
  <si>
    <t>shoffman@hotmail.com</t>
  </si>
  <si>
    <t>C3198</t>
  </si>
  <si>
    <t>Derek Carter</t>
  </si>
  <si>
    <t>jensennicole@harvey.com</t>
  </si>
  <si>
    <t>C3199</t>
  </si>
  <si>
    <t>Jeremy Evans</t>
  </si>
  <si>
    <t>sean92@brown.com</t>
  </si>
  <si>
    <t>5507740657</t>
  </si>
  <si>
    <t>C3200</t>
  </si>
  <si>
    <t>brian dennis</t>
  </si>
  <si>
    <t>charles60@yahoo.com</t>
  </si>
  <si>
    <t>C3201</t>
  </si>
  <si>
    <t>Jennifer Thompson</t>
  </si>
  <si>
    <t>turnerjose@martinez.com</t>
  </si>
  <si>
    <t>C3202</t>
  </si>
  <si>
    <t>Beth Thomas</t>
  </si>
  <si>
    <t>alexismiller@gmail.com</t>
  </si>
  <si>
    <t>C3203</t>
  </si>
  <si>
    <t>Steven Reed MD</t>
  </si>
  <si>
    <t>joseph97@gmail.com</t>
  </si>
  <si>
    <t>C3204</t>
  </si>
  <si>
    <t>Tamara Berger</t>
  </si>
  <si>
    <t>camerongregory@johnson.info</t>
  </si>
  <si>
    <t>C3205</t>
  </si>
  <si>
    <t>Samantha Carroll</t>
  </si>
  <si>
    <t>teresaray@gmail.com</t>
  </si>
  <si>
    <t>C3206</t>
  </si>
  <si>
    <t>Gabriel Johnson</t>
  </si>
  <si>
    <t>jennifer73@johnson-nelson.com</t>
  </si>
  <si>
    <t>C3207</t>
  </si>
  <si>
    <t>Misty Burnett</t>
  </si>
  <si>
    <t>ppatrick@russo.net</t>
  </si>
  <si>
    <t>C3208</t>
  </si>
  <si>
    <t>Jose Swanson</t>
  </si>
  <si>
    <t>jennifernewton@yahoo.com</t>
  </si>
  <si>
    <t>C3209</t>
  </si>
  <si>
    <t>Mark Turner</t>
  </si>
  <si>
    <t>C3210</t>
  </si>
  <si>
    <t>Clinton Francis</t>
  </si>
  <si>
    <t>georgestephen@yahoo.com</t>
  </si>
  <si>
    <t>C3211</t>
  </si>
  <si>
    <t>Natalie Miller</t>
  </si>
  <si>
    <t>donna58@thomas.com</t>
  </si>
  <si>
    <t>C3212</t>
  </si>
  <si>
    <t>Traci Leon</t>
  </si>
  <si>
    <t>C3213</t>
  </si>
  <si>
    <t>Whitney Gilbert</t>
  </si>
  <si>
    <t>taylor54@gmail.com</t>
  </si>
  <si>
    <t>C3214</t>
  </si>
  <si>
    <t>Rebecca Benson</t>
  </si>
  <si>
    <t>bward@gmail.com</t>
  </si>
  <si>
    <t>C3215</t>
  </si>
  <si>
    <t>marvinhoward@yahoo.com</t>
  </si>
  <si>
    <t>C3216</t>
  </si>
  <si>
    <t>Denise Barker</t>
  </si>
  <si>
    <t>C3217</t>
  </si>
  <si>
    <t>Jonathan Williams</t>
  </si>
  <si>
    <t>pamelacooper@hotmail.com</t>
  </si>
  <si>
    <t>C3218</t>
  </si>
  <si>
    <t>Christopher Mitchell</t>
  </si>
  <si>
    <t>amber29@rowland.biz</t>
  </si>
  <si>
    <t>C3219</t>
  </si>
  <si>
    <t>Daniel Casey</t>
  </si>
  <si>
    <t>ggilmore@williams.net</t>
  </si>
  <si>
    <t>C3220</t>
  </si>
  <si>
    <t>Denise Ford</t>
  </si>
  <si>
    <t>gabriellafrench@wilson-dennis.com</t>
  </si>
  <si>
    <t>C3221</t>
  </si>
  <si>
    <t>Madison Davis</t>
  </si>
  <si>
    <t>wrobinson@hotmail.com</t>
  </si>
  <si>
    <t>C3222</t>
  </si>
  <si>
    <t>Michael Walker</t>
  </si>
  <si>
    <t>perezdawn@gmail.com</t>
  </si>
  <si>
    <t>C3223</t>
  </si>
  <si>
    <t>Monica Lynch</t>
  </si>
  <si>
    <t>barrytanya@simpson.com</t>
  </si>
  <si>
    <t>C3224</t>
  </si>
  <si>
    <t>Jason Larson</t>
  </si>
  <si>
    <t>nturner@little.com</t>
  </si>
  <si>
    <t>C3225</t>
  </si>
  <si>
    <t>Karen Grant</t>
  </si>
  <si>
    <t>david21@king.biz</t>
  </si>
  <si>
    <t>C3226</t>
  </si>
  <si>
    <t>Francisco Carson</t>
  </si>
  <si>
    <t>msmith@yahoo.com</t>
  </si>
  <si>
    <t>C3227</t>
  </si>
  <si>
    <t>Scott Porter</t>
  </si>
  <si>
    <t>tbrooks@yahoo.com</t>
  </si>
  <si>
    <t>C3228</t>
  </si>
  <si>
    <t>Carolyn Price</t>
  </si>
  <si>
    <t>sheltontiffany@yahoo.com</t>
  </si>
  <si>
    <t>C3229</t>
  </si>
  <si>
    <t>Matthew Duncan</t>
  </si>
  <si>
    <t>anthony76@hotmail.com</t>
  </si>
  <si>
    <t>C3230</t>
  </si>
  <si>
    <t>John Mercer</t>
  </si>
  <si>
    <t>nbarker@avery-cohen.com</t>
  </si>
  <si>
    <t>C3231</t>
  </si>
  <si>
    <t>Paul Moreno</t>
  </si>
  <si>
    <t>esteskatherine@gmail.com</t>
  </si>
  <si>
    <t>C3232</t>
  </si>
  <si>
    <t>Paul Hayes</t>
  </si>
  <si>
    <t>amy13@hotmail.com</t>
  </si>
  <si>
    <t>C3233</t>
  </si>
  <si>
    <t>Christopher Richards</t>
  </si>
  <si>
    <t>vjames@munoz.com</t>
  </si>
  <si>
    <t>C3234</t>
  </si>
  <si>
    <t>Krystal Perry</t>
  </si>
  <si>
    <t>angela73@hotmail.com</t>
  </si>
  <si>
    <t>C3235</t>
  </si>
  <si>
    <t>Nicole Campbell</t>
  </si>
  <si>
    <t>smithdavid@hotmail.com</t>
  </si>
  <si>
    <t>C3236</t>
  </si>
  <si>
    <t>Wanda Brooks</t>
  </si>
  <si>
    <t>ljones@hill-cunningham.net</t>
  </si>
  <si>
    <t>C3237</t>
  </si>
  <si>
    <t>Jamie Rush</t>
  </si>
  <si>
    <t>brenda87@barrera.com</t>
  </si>
  <si>
    <t>C3238</t>
  </si>
  <si>
    <t>James Lewis</t>
  </si>
  <si>
    <t>carolyn61@moore.info</t>
  </si>
  <si>
    <t>C3239</t>
  </si>
  <si>
    <t>Dylan Hancock</t>
  </si>
  <si>
    <t>C3240</t>
  </si>
  <si>
    <t>victoria werner</t>
  </si>
  <si>
    <t>hughesjulie@whitehead.com</t>
  </si>
  <si>
    <t>C3241</t>
  </si>
  <si>
    <t>Heather Robinson</t>
  </si>
  <si>
    <t>michelle97@reeves.com</t>
  </si>
  <si>
    <t>C3242</t>
  </si>
  <si>
    <t>Diana Townsend</t>
  </si>
  <si>
    <t>donaldyang@hart.biz</t>
  </si>
  <si>
    <t>5457694757</t>
  </si>
  <si>
    <t>C3243</t>
  </si>
  <si>
    <t>Mary Mcdaniel</t>
  </si>
  <si>
    <t>cynthia16@johnson-graham.biz</t>
  </si>
  <si>
    <t>C3244</t>
  </si>
  <si>
    <t>Makayla Shaw</t>
  </si>
  <si>
    <t>millernatalie@howard.com</t>
  </si>
  <si>
    <t>C3245</t>
  </si>
  <si>
    <t>Courtney Powell</t>
  </si>
  <si>
    <t>martinashley@gonzalez.net</t>
  </si>
  <si>
    <t>C3246</t>
  </si>
  <si>
    <t>Donna Middleton</t>
  </si>
  <si>
    <t>yjones@hotmail.com</t>
  </si>
  <si>
    <t>C3247</t>
  </si>
  <si>
    <t>Shane Ross</t>
  </si>
  <si>
    <t>cwilson@harris.com</t>
  </si>
  <si>
    <t>C3248</t>
  </si>
  <si>
    <t>Ronald Hines</t>
  </si>
  <si>
    <t>watsonwilliam@gmail.com</t>
  </si>
  <si>
    <t>C3249</t>
  </si>
  <si>
    <t>Melinda Garcia</t>
  </si>
  <si>
    <t>brenda04@flores.info</t>
  </si>
  <si>
    <t>C3250</t>
  </si>
  <si>
    <t>Jennifer Barnes</t>
  </si>
  <si>
    <t>elizabethmendoza@garcia.net</t>
  </si>
  <si>
    <t>C3251</t>
  </si>
  <si>
    <t>Allen Walker</t>
  </si>
  <si>
    <t>elizabethhodge@callahan.info</t>
  </si>
  <si>
    <t>C3252</t>
  </si>
  <si>
    <t>Kathy Miller</t>
  </si>
  <si>
    <t>johnmolina@ward.com</t>
  </si>
  <si>
    <t>C3253</t>
  </si>
  <si>
    <t>Jennifer Johnson</t>
  </si>
  <si>
    <t>harrellkimberly@gmail.com</t>
  </si>
  <si>
    <t>C3254</t>
  </si>
  <si>
    <t>Carol Garrett</t>
  </si>
  <si>
    <t>peter93@solomon.net</t>
  </si>
  <si>
    <t>C3255</t>
  </si>
  <si>
    <t>Tiffany Johnson</t>
  </si>
  <si>
    <t>johnboyd@yahoo.com</t>
  </si>
  <si>
    <t>C3256</t>
  </si>
  <si>
    <t>Rachel Price</t>
  </si>
  <si>
    <t>agreene@hoffman.com</t>
  </si>
  <si>
    <t>C3257</t>
  </si>
  <si>
    <t>Cheryl Gentry</t>
  </si>
  <si>
    <t>joshua47@roman.net</t>
  </si>
  <si>
    <t>C3258</t>
  </si>
  <si>
    <t>Nathan Allen</t>
  </si>
  <si>
    <t>melissa78@yahoo.com</t>
  </si>
  <si>
    <t>C3259</t>
  </si>
  <si>
    <t>Micheal Gonzalez</t>
  </si>
  <si>
    <t>taylordavis@yahoo.com</t>
  </si>
  <si>
    <t>C3260</t>
  </si>
  <si>
    <t>Austin Johnson</t>
  </si>
  <si>
    <t>kingjoseph@yahoo.com</t>
  </si>
  <si>
    <t>C3261</t>
  </si>
  <si>
    <t>Judy Sutton</t>
  </si>
  <si>
    <t>C3262</t>
  </si>
  <si>
    <t>lawrencebullock@gmail.com</t>
  </si>
  <si>
    <t>C3263</t>
  </si>
  <si>
    <t>Martin Lara</t>
  </si>
  <si>
    <t>teresa35@lowe.com</t>
  </si>
  <si>
    <t>C3264</t>
  </si>
  <si>
    <t>Shelby Stout</t>
  </si>
  <si>
    <t>james58@morris.com</t>
  </si>
  <si>
    <t>C3265</t>
  </si>
  <si>
    <t>Nathan Jones</t>
  </si>
  <si>
    <t>danielle39@greer.info</t>
  </si>
  <si>
    <t>C3266</t>
  </si>
  <si>
    <t>Melanie Russell</t>
  </si>
  <si>
    <t>peterlove@hotmail.com</t>
  </si>
  <si>
    <t>C3267</t>
  </si>
  <si>
    <t>Julie Cruz</t>
  </si>
  <si>
    <t>dustin91@yahoo.com</t>
  </si>
  <si>
    <t>C3268</t>
  </si>
  <si>
    <t>Tina Ware</t>
  </si>
  <si>
    <t>zli@jones.info</t>
  </si>
  <si>
    <t>C3269</t>
  </si>
  <si>
    <t>Michelle Lawson</t>
  </si>
  <si>
    <t>william63@yahoo.com</t>
  </si>
  <si>
    <t>C3270</t>
  </si>
  <si>
    <t>Michelle Gonzales DVM</t>
  </si>
  <si>
    <t>ffuller@rodriguez.com</t>
  </si>
  <si>
    <t>C3271</t>
  </si>
  <si>
    <t>Robert Clayton</t>
  </si>
  <si>
    <t>wardlaurie@williams.com</t>
  </si>
  <si>
    <t>C3272</t>
  </si>
  <si>
    <t>Amanda Ross</t>
  </si>
  <si>
    <t>david16@williams.org</t>
  </si>
  <si>
    <t>C3273</t>
  </si>
  <si>
    <t>Lori Alexander</t>
  </si>
  <si>
    <t>rodrigueztiffany@ramirez.org</t>
  </si>
  <si>
    <t>C3274</t>
  </si>
  <si>
    <t>Ashley Boone</t>
  </si>
  <si>
    <t>mary20@hotmail.com</t>
  </si>
  <si>
    <t>C3275</t>
  </si>
  <si>
    <t>Lauren Moody</t>
  </si>
  <si>
    <t>georgeburch@yahoo.com</t>
  </si>
  <si>
    <t>C3276</t>
  </si>
  <si>
    <t>Holly Douglas</t>
  </si>
  <si>
    <t>C3277</t>
  </si>
  <si>
    <t>David Olson</t>
  </si>
  <si>
    <t>bestchristopher@mendez.com</t>
  </si>
  <si>
    <t>C3278</t>
  </si>
  <si>
    <t>Gary Benson</t>
  </si>
  <si>
    <t>meganwalker@lynch-mcclain.com</t>
  </si>
  <si>
    <t>C3279</t>
  </si>
  <si>
    <t>Michael Goodwin</t>
  </si>
  <si>
    <t>smithemily@yahoo.com</t>
  </si>
  <si>
    <t>C3280</t>
  </si>
  <si>
    <t>grace norris</t>
  </si>
  <si>
    <t>glewis@gmail.com</t>
  </si>
  <si>
    <t>C3281</t>
  </si>
  <si>
    <t>Jerry Scott</t>
  </si>
  <si>
    <t>vramos@yahoo.com</t>
  </si>
  <si>
    <t>9649692771</t>
  </si>
  <si>
    <t>C3282</t>
  </si>
  <si>
    <t>Andrew Taylor</t>
  </si>
  <si>
    <t>weaverjoseph@hotmail.com</t>
  </si>
  <si>
    <t>C3283</t>
  </si>
  <si>
    <t>Allison Beard</t>
  </si>
  <si>
    <t>hclarke@yahoo.com</t>
  </si>
  <si>
    <t>C3284</t>
  </si>
  <si>
    <t>Michelle Parker</t>
  </si>
  <si>
    <t>C3285</t>
  </si>
  <si>
    <t>Latoya Torres</t>
  </si>
  <si>
    <t>porterchristina@yahoo.com</t>
  </si>
  <si>
    <t>C3286</t>
  </si>
  <si>
    <t>Megan Moore</t>
  </si>
  <si>
    <t>drew19@vega.com</t>
  </si>
  <si>
    <t>C3287</t>
  </si>
  <si>
    <t>Betty Lawson</t>
  </si>
  <si>
    <t>richard34@gmail.com</t>
  </si>
  <si>
    <t>C3288</t>
  </si>
  <si>
    <t>Dawn Perez</t>
  </si>
  <si>
    <t>ryu@hotmail.com</t>
  </si>
  <si>
    <t>9586297398</t>
  </si>
  <si>
    <t>C3289</t>
  </si>
  <si>
    <t>Lauren Hernandez</t>
  </si>
  <si>
    <t>chavezlauren@armstrong-ward.com</t>
  </si>
  <si>
    <t>C3290</t>
  </si>
  <si>
    <t>Jackson Romero</t>
  </si>
  <si>
    <t>bramsey@gmail.com</t>
  </si>
  <si>
    <t>C3291</t>
  </si>
  <si>
    <t>Kellie Woods</t>
  </si>
  <si>
    <t>michael45@yahoo.com</t>
  </si>
  <si>
    <t>C3292</t>
  </si>
  <si>
    <t>Valerie Schneider</t>
  </si>
  <si>
    <t>garynash@hotmail.com</t>
  </si>
  <si>
    <t>C3293</t>
  </si>
  <si>
    <t>Kathryn Mills</t>
  </si>
  <si>
    <t>wernermichael@davis.com</t>
  </si>
  <si>
    <t>C3294</t>
  </si>
  <si>
    <t>Timothy Wong</t>
  </si>
  <si>
    <t>christian47@carter.com</t>
  </si>
  <si>
    <t>C3295</t>
  </si>
  <si>
    <t>Karen Webb</t>
  </si>
  <si>
    <t>robertjackson@hall.org</t>
  </si>
  <si>
    <t>C3296</t>
  </si>
  <si>
    <t>Michael Brown</t>
  </si>
  <si>
    <t>keithharrison@jacobson-young.com</t>
  </si>
  <si>
    <t>C3297</t>
  </si>
  <si>
    <t>Daniel Hernandez</t>
  </si>
  <si>
    <t>C3298</t>
  </si>
  <si>
    <t>Monica Wilson</t>
  </si>
  <si>
    <t>mejiajoseph@ferguson.net</t>
  </si>
  <si>
    <t>0852946902</t>
  </si>
  <si>
    <t>C3299</t>
  </si>
  <si>
    <t>Jonathan Hudson</t>
  </si>
  <si>
    <t>ericfrederick@gmail.com</t>
  </si>
  <si>
    <t>C3300</t>
  </si>
  <si>
    <t>Alexandria Francis</t>
  </si>
  <si>
    <t>melissa48@mason.biz</t>
  </si>
  <si>
    <t>C3301</t>
  </si>
  <si>
    <t>Rachel Villanueva</t>
  </si>
  <si>
    <t>brandonmoore@allen.com</t>
  </si>
  <si>
    <t>C3302</t>
  </si>
  <si>
    <t>Heidi Johnson</t>
  </si>
  <si>
    <t>lsanchez@hotmail.com</t>
  </si>
  <si>
    <t>C3303</t>
  </si>
  <si>
    <t>Tiffany Romero</t>
  </si>
  <si>
    <t>C3304</t>
  </si>
  <si>
    <t>Tyrone Bradford</t>
  </si>
  <si>
    <t>fernandoobrien@jones.com</t>
  </si>
  <si>
    <t>C3305</t>
  </si>
  <si>
    <t>Angela Yates</t>
  </si>
  <si>
    <t>steven76@weaver.net</t>
  </si>
  <si>
    <t>C3306</t>
  </si>
  <si>
    <t>Joseph Sanchez</t>
  </si>
  <si>
    <t>hwalton@yahoo.com</t>
  </si>
  <si>
    <t>C3307</t>
  </si>
  <si>
    <t>Catherine Mayer</t>
  </si>
  <si>
    <t>cmartinez@jones.com</t>
  </si>
  <si>
    <t>C3308</t>
  </si>
  <si>
    <t>Crystal Love</t>
  </si>
  <si>
    <t>treyes@johnson-freeman.com</t>
  </si>
  <si>
    <t>C3309</t>
  </si>
  <si>
    <t>whampton@cole.com</t>
  </si>
  <si>
    <t>C3310</t>
  </si>
  <si>
    <t>Patrick Quinn</t>
  </si>
  <si>
    <t>bsanchez@gmail.com</t>
  </si>
  <si>
    <t>C3311</t>
  </si>
  <si>
    <t>Susan Anderson</t>
  </si>
  <si>
    <t>tommy77@yahoo.com</t>
  </si>
  <si>
    <t>C3312</t>
  </si>
  <si>
    <t>Daniel Sanchez</t>
  </si>
  <si>
    <t>danderson@gould.com</t>
  </si>
  <si>
    <t>C3313</t>
  </si>
  <si>
    <t>Karen Garcia</t>
  </si>
  <si>
    <t>brian76@hotmail.com</t>
  </si>
  <si>
    <t>C3314</t>
  </si>
  <si>
    <t>Amber Tyler</t>
  </si>
  <si>
    <t>georgemichael@hotmail.com</t>
  </si>
  <si>
    <t>C3315</t>
  </si>
  <si>
    <t>John Ramos</t>
  </si>
  <si>
    <t>villamisty@yahoo.com</t>
  </si>
  <si>
    <t>C3316</t>
  </si>
  <si>
    <t>Brett Lawrence</t>
  </si>
  <si>
    <t>mark48@smith.com</t>
  </si>
  <si>
    <t>C3317</t>
  </si>
  <si>
    <t>Elizabeth Smith</t>
  </si>
  <si>
    <t>johnsonjeffery@hotmail.com</t>
  </si>
  <si>
    <t>C3318</t>
  </si>
  <si>
    <t>Taylor Cortez</t>
  </si>
  <si>
    <t>C3319</t>
  </si>
  <si>
    <t>Marvin Chapman</t>
  </si>
  <si>
    <t>westmatthew@hotmail.com</t>
  </si>
  <si>
    <t>C3320</t>
  </si>
  <si>
    <t>nicole gay</t>
  </si>
  <si>
    <t>christy45@gmail.com</t>
  </si>
  <si>
    <t>C3321</t>
  </si>
  <si>
    <t>Jason Nelson</t>
  </si>
  <si>
    <t>bblake@johnson.org</t>
  </si>
  <si>
    <t>C3322</t>
  </si>
  <si>
    <t>Erin Webb</t>
  </si>
  <si>
    <t>sarahgray@klein.com</t>
  </si>
  <si>
    <t>C3323</t>
  </si>
  <si>
    <t>Matthew Baker</t>
  </si>
  <si>
    <t>christopherreyes@robinson-williams.com</t>
  </si>
  <si>
    <t>C3324</t>
  </si>
  <si>
    <t>Glenda Byrd</t>
  </si>
  <si>
    <t>robertlee@simmons.com</t>
  </si>
  <si>
    <t>C3325</t>
  </si>
  <si>
    <t>Lori Rodriguez</t>
  </si>
  <si>
    <t>C3326</t>
  </si>
  <si>
    <t>Catherine Smith</t>
  </si>
  <si>
    <t>ritterfrank@baker.com</t>
  </si>
  <si>
    <t>C3327</t>
  </si>
  <si>
    <t>Katrina Simpson</t>
  </si>
  <si>
    <t>kherman@snyder.com</t>
  </si>
  <si>
    <t>C3328</t>
  </si>
  <si>
    <t>Philip Chambers</t>
  </si>
  <si>
    <t>qsosa@hotmail.com</t>
  </si>
  <si>
    <t>C3329</t>
  </si>
  <si>
    <t>Scott Peterson</t>
  </si>
  <si>
    <t>alison98@hotmail.com</t>
  </si>
  <si>
    <t>C3330</t>
  </si>
  <si>
    <t>Samantha Lee</t>
  </si>
  <si>
    <t>jeremyjohnson@yahoo.com</t>
  </si>
  <si>
    <t>C3331</t>
  </si>
  <si>
    <t>David Parker</t>
  </si>
  <si>
    <t>C3332</t>
  </si>
  <si>
    <t>Randall Kennedy</t>
  </si>
  <si>
    <t>shelby47@hotmail.com</t>
  </si>
  <si>
    <t>3666020005</t>
  </si>
  <si>
    <t>C3333</t>
  </si>
  <si>
    <t>Tanya Clark</t>
  </si>
  <si>
    <t>cranekevin@yahoo.com</t>
  </si>
  <si>
    <t>C3334</t>
  </si>
  <si>
    <t>Erica Lee</t>
  </si>
  <si>
    <t>C3335</t>
  </si>
  <si>
    <t>Christopher Moore</t>
  </si>
  <si>
    <t>angelarichard@gilmore.info</t>
  </si>
  <si>
    <t>C3336</t>
  </si>
  <si>
    <t>Erika Black</t>
  </si>
  <si>
    <t>terrywilliam@newton-barnes.com</t>
  </si>
  <si>
    <t>C3337</t>
  </si>
  <si>
    <t>Kurt Butler</t>
  </si>
  <si>
    <t>sanchezcindy@hotmail.com</t>
  </si>
  <si>
    <t>C3338</t>
  </si>
  <si>
    <t>Crystal Baker</t>
  </si>
  <si>
    <t>sara06@briggs-moore.info</t>
  </si>
  <si>
    <t>C3339</t>
  </si>
  <si>
    <t>Sandra Wood</t>
  </si>
  <si>
    <t>sharon14@tucker.biz</t>
  </si>
  <si>
    <t>C3340</t>
  </si>
  <si>
    <t>Nicholas Calderon</t>
  </si>
  <si>
    <t>pjordan@sanchez-ballard.com</t>
  </si>
  <si>
    <t>C3341</t>
  </si>
  <si>
    <t>Eric Elliott</t>
  </si>
  <si>
    <t>brittney11@miller.com</t>
  </si>
  <si>
    <t>C3342</t>
  </si>
  <si>
    <t>Abigail Case</t>
  </si>
  <si>
    <t>fvasquez@wong.com</t>
  </si>
  <si>
    <t>C3343</t>
  </si>
  <si>
    <t>Jason Brewer</t>
  </si>
  <si>
    <t>kellybridges@jennings.org</t>
  </si>
  <si>
    <t>C3344</t>
  </si>
  <si>
    <t>Jesus Hill</t>
  </si>
  <si>
    <t>martinkyle@williams.com</t>
  </si>
  <si>
    <t>C3345</t>
  </si>
  <si>
    <t>Christina Bates</t>
  </si>
  <si>
    <t>underwoodjames@prince.com</t>
  </si>
  <si>
    <t>C3346</t>
  </si>
  <si>
    <t>Ronnie Johnson</t>
  </si>
  <si>
    <t>christina81@hotmail.com</t>
  </si>
  <si>
    <t>C3347</t>
  </si>
  <si>
    <t>James Grant</t>
  </si>
  <si>
    <t>calvinobrien@yahoo.com</t>
  </si>
  <si>
    <t>C3348</t>
  </si>
  <si>
    <t>Rebecca Williamson</t>
  </si>
  <si>
    <t>crawfordjeffrey@johnson-phelps.com</t>
  </si>
  <si>
    <t>C3349</t>
  </si>
  <si>
    <t>Donald Jones</t>
  </si>
  <si>
    <t>ghoward@yahoo.com</t>
  </si>
  <si>
    <t>C3350</t>
  </si>
  <si>
    <t>Nathan David</t>
  </si>
  <si>
    <t>pbutler@yahoo.com</t>
  </si>
  <si>
    <t>C3351</t>
  </si>
  <si>
    <t>Tiffany Arroyo</t>
  </si>
  <si>
    <t>johnhernandez@gmail.com</t>
  </si>
  <si>
    <t>C3352</t>
  </si>
  <si>
    <t>Jeanette Moyer</t>
  </si>
  <si>
    <t>brownnancy@rodriguez.com</t>
  </si>
  <si>
    <t>C3353</t>
  </si>
  <si>
    <t>Danielle Benitez</t>
  </si>
  <si>
    <t>campbellmarvin@riley-higgins.biz</t>
  </si>
  <si>
    <t>C3354</t>
  </si>
  <si>
    <t>Amy Brown</t>
  </si>
  <si>
    <t>spearselizabeth@hotmail.com</t>
  </si>
  <si>
    <t>3056619953</t>
  </si>
  <si>
    <t>C3355</t>
  </si>
  <si>
    <t>Joshua Kim</t>
  </si>
  <si>
    <t>pauladouglas@yahoo.com</t>
  </si>
  <si>
    <t>5641849378</t>
  </si>
  <si>
    <t>C3356</t>
  </si>
  <si>
    <t>John Gilmore</t>
  </si>
  <si>
    <t>elee@johnson.biz</t>
  </si>
  <si>
    <t>C3357</t>
  </si>
  <si>
    <t>William Oconnor</t>
  </si>
  <si>
    <t>zford@huffman.biz</t>
  </si>
  <si>
    <t>C3358</t>
  </si>
  <si>
    <t>Shelly Lawrence</t>
  </si>
  <si>
    <t>adrianlogan@yahoo.com</t>
  </si>
  <si>
    <t>C3359</t>
  </si>
  <si>
    <t>Kristina Gonzales</t>
  </si>
  <si>
    <t>tuckervanessa@gmail.com</t>
  </si>
  <si>
    <t>C3360</t>
  </si>
  <si>
    <t>joshua guerrero</t>
  </si>
  <si>
    <t>johnmunoz@solomon-le.biz</t>
  </si>
  <si>
    <t>C3361</t>
  </si>
  <si>
    <t>Ruth Norris</t>
  </si>
  <si>
    <t>welchjennifer@watson.net</t>
  </si>
  <si>
    <t>C3362</t>
  </si>
  <si>
    <t>Randy Harrell</t>
  </si>
  <si>
    <t>dylanbecker@manning.net</t>
  </si>
  <si>
    <t>C3363</t>
  </si>
  <si>
    <t>Nancy Krueger</t>
  </si>
  <si>
    <t>ucarrillo@gibson.org</t>
  </si>
  <si>
    <t>C3364</t>
  </si>
  <si>
    <t>Raymond Burgess</t>
  </si>
  <si>
    <t>vwilliams@gmail.com</t>
  </si>
  <si>
    <t>C3365</t>
  </si>
  <si>
    <t>Frank Perez</t>
  </si>
  <si>
    <t>wellsnatalie@yahoo.com</t>
  </si>
  <si>
    <t>C3366</t>
  </si>
  <si>
    <t>Cristian Mata</t>
  </si>
  <si>
    <t>mary37@evans-pearson.com</t>
  </si>
  <si>
    <t>C3367</t>
  </si>
  <si>
    <t>Larry Cantu</t>
  </si>
  <si>
    <t>ralph08@williams.com</t>
  </si>
  <si>
    <t>5080549147</t>
  </si>
  <si>
    <t>C3368</t>
  </si>
  <si>
    <t>Martin Simmons</t>
  </si>
  <si>
    <t>jordansusan@yahoo.com</t>
  </si>
  <si>
    <t>C3369</t>
  </si>
  <si>
    <t>Rebecca Decker</t>
  </si>
  <si>
    <t>shawstephanie@hotmail.com</t>
  </si>
  <si>
    <t>C3370</t>
  </si>
  <si>
    <t>William Brooks</t>
  </si>
  <si>
    <t>C3371</t>
  </si>
  <si>
    <t>Whitney Moyer</t>
  </si>
  <si>
    <t>crawfordbetty@hotmail.com</t>
  </si>
  <si>
    <t>C3372</t>
  </si>
  <si>
    <t>Erin Ryan</t>
  </si>
  <si>
    <t>wyattsara@yahoo.com</t>
  </si>
  <si>
    <t>C3373</t>
  </si>
  <si>
    <t>Gene Jones</t>
  </si>
  <si>
    <t>amygonzalez@hotmail.com</t>
  </si>
  <si>
    <t>C3374</t>
  </si>
  <si>
    <t>Brandon Grant</t>
  </si>
  <si>
    <t>C3375</t>
  </si>
  <si>
    <t>Christopher Palmer</t>
  </si>
  <si>
    <t>murphyjohn@yahoo.com</t>
  </si>
  <si>
    <t>C3376</t>
  </si>
  <si>
    <t>Laura Mcdonald</t>
  </si>
  <si>
    <t>andersonkara@jackson-carter.com</t>
  </si>
  <si>
    <t>C3377</t>
  </si>
  <si>
    <t>Cheryl Jones</t>
  </si>
  <si>
    <t>rebeccaharris@gmail.com</t>
  </si>
  <si>
    <t>0108985739</t>
  </si>
  <si>
    <t>C3378</t>
  </si>
  <si>
    <t>Sabrina Owens</t>
  </si>
  <si>
    <t>8352118968</t>
  </si>
  <si>
    <t>C3379</t>
  </si>
  <si>
    <t>Wendy Hernandez</t>
  </si>
  <si>
    <t>hubbardkeith@hotmail.com</t>
  </si>
  <si>
    <t>C3380</t>
  </si>
  <si>
    <t>Christopher Johnston</t>
  </si>
  <si>
    <t>mcgrathmorgan@mckay.com</t>
  </si>
  <si>
    <t>C3381</t>
  </si>
  <si>
    <t>Richard Stevenson</t>
  </si>
  <si>
    <t>hubbardmatthew@miranda.com</t>
  </si>
  <si>
    <t>C3382</t>
  </si>
  <si>
    <t>Stacy Morales</t>
  </si>
  <si>
    <t>kristen51@yahoo.com</t>
  </si>
  <si>
    <t>C3383</t>
  </si>
  <si>
    <t>Marcus Price</t>
  </si>
  <si>
    <t>idrake@swanson-bartlett.org</t>
  </si>
  <si>
    <t>C3384</t>
  </si>
  <si>
    <t>Frank Hernandez</t>
  </si>
  <si>
    <t>martinmatthew@ochoa.com</t>
  </si>
  <si>
    <t>C3385</t>
  </si>
  <si>
    <t>Lauren Saunders</t>
  </si>
  <si>
    <t>melissa61@parsons.org</t>
  </si>
  <si>
    <t>C3386</t>
  </si>
  <si>
    <t>Martha Gonzalez</t>
  </si>
  <si>
    <t>cherryjulie@hotmail.com</t>
  </si>
  <si>
    <t>C3387</t>
  </si>
  <si>
    <t>Tammy Barry</t>
  </si>
  <si>
    <t>phughes@yahoo.com</t>
  </si>
  <si>
    <t>C3388</t>
  </si>
  <si>
    <t>Laura Lopez</t>
  </si>
  <si>
    <t>johnsonjacob@kelly.com</t>
  </si>
  <si>
    <t>C3389</t>
  </si>
  <si>
    <t>Eric Garcia</t>
  </si>
  <si>
    <t>montesmichelle@gmail.com</t>
  </si>
  <si>
    <t>C3390</t>
  </si>
  <si>
    <t>Terry Williams</t>
  </si>
  <si>
    <t>wheeleranna@watkins.info</t>
  </si>
  <si>
    <t>8581810450</t>
  </si>
  <si>
    <t>C3391</t>
  </si>
  <si>
    <t>Gregory Jones</t>
  </si>
  <si>
    <t>weberantonio@hotmail.com</t>
  </si>
  <si>
    <t>C3392</t>
  </si>
  <si>
    <t>Tanya Barrett</t>
  </si>
  <si>
    <t>larryshort@yahoo.com</t>
  </si>
  <si>
    <t>C3393</t>
  </si>
  <si>
    <t>Christopher Ritter</t>
  </si>
  <si>
    <t>brownkevin@dominguez.com</t>
  </si>
  <si>
    <t>C3394</t>
  </si>
  <si>
    <t>Thomas Barton</t>
  </si>
  <si>
    <t>melissa18@yahoo.com</t>
  </si>
  <si>
    <t>C3395</t>
  </si>
  <si>
    <t>Shawn Blackburn</t>
  </si>
  <si>
    <t>tparker@johnson-zavala.com</t>
  </si>
  <si>
    <t>C3396</t>
  </si>
  <si>
    <t>Travis Johnson</t>
  </si>
  <si>
    <t>kanesarah@greene.com</t>
  </si>
  <si>
    <t>C3397</t>
  </si>
  <si>
    <t>Sarah Clark</t>
  </si>
  <si>
    <t>pamela29@gmail.com</t>
  </si>
  <si>
    <t>C3398</t>
  </si>
  <si>
    <t>Jeffrey Gonzalez</t>
  </si>
  <si>
    <t>brandoncollins@fischer.net</t>
  </si>
  <si>
    <t>C3399</t>
  </si>
  <si>
    <t>Leslie Martinez</t>
  </si>
  <si>
    <t>craig60@yahoo.com</t>
  </si>
  <si>
    <t>C3400</t>
  </si>
  <si>
    <t>katie lane</t>
  </si>
  <si>
    <t>barrettjoseph@gmail.com</t>
  </si>
  <si>
    <t>C3401</t>
  </si>
  <si>
    <t>Carla Clark</t>
  </si>
  <si>
    <t>davisshirley@rodriguez.com</t>
  </si>
  <si>
    <t>C3402</t>
  </si>
  <si>
    <t>Natalie Howard</t>
  </si>
  <si>
    <t>richard14@gmail.com</t>
  </si>
  <si>
    <t>C3403</t>
  </si>
  <si>
    <t>Jennifer Clark MD</t>
  </si>
  <si>
    <t>cookjacob@haynes.info</t>
  </si>
  <si>
    <t>C3404</t>
  </si>
  <si>
    <t>Karen Hicks</t>
  </si>
  <si>
    <t>garybernard@hicks.net</t>
  </si>
  <si>
    <t>C3405</t>
  </si>
  <si>
    <t>Alexis James</t>
  </si>
  <si>
    <t>travisyoung@yahoo.com</t>
  </si>
  <si>
    <t>C3406</t>
  </si>
  <si>
    <t>Tyrone Garcia</t>
  </si>
  <si>
    <t>2826254204</t>
  </si>
  <si>
    <t>C3407</t>
  </si>
  <si>
    <t>Eric Brown</t>
  </si>
  <si>
    <t>hlee@cooper-sullivan.org</t>
  </si>
  <si>
    <t>C3408</t>
  </si>
  <si>
    <t>Marissa Perez</t>
  </si>
  <si>
    <t>joseph91@hotmail.com</t>
  </si>
  <si>
    <t>C3409</t>
  </si>
  <si>
    <t>Marie Patrick</t>
  </si>
  <si>
    <t>deborah70@gmail.com</t>
  </si>
  <si>
    <t>C3410</t>
  </si>
  <si>
    <t>Alexis Brandt</t>
  </si>
  <si>
    <t>julievazquez@hotmail.com</t>
  </si>
  <si>
    <t>C3411</t>
  </si>
  <si>
    <t>C3412</t>
  </si>
  <si>
    <t>Cassandra Smith</t>
  </si>
  <si>
    <t>coffeyjohn@williams.com</t>
  </si>
  <si>
    <t>C3413</t>
  </si>
  <si>
    <t>Brenda Harrison</t>
  </si>
  <si>
    <t>tammyhill@gmail.com</t>
  </si>
  <si>
    <t>C3414</t>
  </si>
  <si>
    <t>Kyle Clark</t>
  </si>
  <si>
    <t>jennifergreer@gutierrez.com</t>
  </si>
  <si>
    <t>C3415</t>
  </si>
  <si>
    <t>Eileen Williamson</t>
  </si>
  <si>
    <t>dylanwong@gmail.com</t>
  </si>
  <si>
    <t>0577950017</t>
  </si>
  <si>
    <t>C3417</t>
  </si>
  <si>
    <t>Brittany Pacheco</t>
  </si>
  <si>
    <t>C3418</t>
  </si>
  <si>
    <t>Holly Buckley</t>
  </si>
  <si>
    <t>oalvarado@gmail.com</t>
  </si>
  <si>
    <t>8716722104</t>
  </si>
  <si>
    <t>C3419</t>
  </si>
  <si>
    <t>Amanda Harris</t>
  </si>
  <si>
    <t>qgomez@sanchez.com</t>
  </si>
  <si>
    <t>C3420</t>
  </si>
  <si>
    <t>Jake Skinner</t>
  </si>
  <si>
    <t>hamiltoneric@gmail.com</t>
  </si>
  <si>
    <t>C3421</t>
  </si>
  <si>
    <t>Alyssa Johnson</t>
  </si>
  <si>
    <t>james14@gmail.com</t>
  </si>
  <si>
    <t>C3422</t>
  </si>
  <si>
    <t>John Moss</t>
  </si>
  <si>
    <t>gregory07@hotmail.com</t>
  </si>
  <si>
    <t>C3423</t>
  </si>
  <si>
    <t>Jason Ryan</t>
  </si>
  <si>
    <t>pbailey@cole.com</t>
  </si>
  <si>
    <t>C3424</t>
  </si>
  <si>
    <t>Miranda Jackson</t>
  </si>
  <si>
    <t>enelson@gmail.com</t>
  </si>
  <si>
    <t>C3425</t>
  </si>
  <si>
    <t>Gregory Walker</t>
  </si>
  <si>
    <t>andreyoung@yahoo.com</t>
  </si>
  <si>
    <t>C3426</t>
  </si>
  <si>
    <t>Austin Novak</t>
  </si>
  <si>
    <t>C3427</t>
  </si>
  <si>
    <t>Jason Villanueva</t>
  </si>
  <si>
    <t>valeriearnold@hotmail.com</t>
  </si>
  <si>
    <t>C3428</t>
  </si>
  <si>
    <t>Scott Pacheco</t>
  </si>
  <si>
    <t>C3429</t>
  </si>
  <si>
    <t>John Lam</t>
  </si>
  <si>
    <t>adamsnathan@vaughn-nelson.net</t>
  </si>
  <si>
    <t>C3430</t>
  </si>
  <si>
    <t>Frank Fernandez</t>
  </si>
  <si>
    <t>ksmith@gmail.com</t>
  </si>
  <si>
    <t>C3431</t>
  </si>
  <si>
    <t>Mary Davis</t>
  </si>
  <si>
    <t>johnny38@andrews.info</t>
  </si>
  <si>
    <t>C3432</t>
  </si>
  <si>
    <t>Ronald Duncan Jr.</t>
  </si>
  <si>
    <t>susanmurphy@carrillo.info</t>
  </si>
  <si>
    <t>0008863467</t>
  </si>
  <si>
    <t>C3433</t>
  </si>
  <si>
    <t>Renee Thomas</t>
  </si>
  <si>
    <t>C3434</t>
  </si>
  <si>
    <t>Natalie Love</t>
  </si>
  <si>
    <t>danieltorres@king-ballard.org</t>
  </si>
  <si>
    <t>C3435</t>
  </si>
  <si>
    <t>Lucas Wright</t>
  </si>
  <si>
    <t>C3436</t>
  </si>
  <si>
    <t>Nicholas Turner</t>
  </si>
  <si>
    <t>msantiago@elliott.com</t>
  </si>
  <si>
    <t>C3437</t>
  </si>
  <si>
    <t>Julia Garza</t>
  </si>
  <si>
    <t>brandon55@blake-patel.info</t>
  </si>
  <si>
    <t>9984336113</t>
  </si>
  <si>
    <t>C3438</t>
  </si>
  <si>
    <t>Victoria Adams</t>
  </si>
  <si>
    <t>bbernard@jones.biz</t>
  </si>
  <si>
    <t>C3439</t>
  </si>
  <si>
    <t>Erin Brooks</t>
  </si>
  <si>
    <t>stuartnichols@jones.info</t>
  </si>
  <si>
    <t>C3440</t>
  </si>
  <si>
    <t>noah rosales</t>
  </si>
  <si>
    <t>joannrobinson@johnson.org</t>
  </si>
  <si>
    <t>7569994494</t>
  </si>
  <si>
    <t>C3441</t>
  </si>
  <si>
    <t>Rebecca Welch</t>
  </si>
  <si>
    <t>esparzadawn@yahoo.com</t>
  </si>
  <si>
    <t>C3442</t>
  </si>
  <si>
    <t>Veronica Smith</t>
  </si>
  <si>
    <t>petersonjoel@davis.org</t>
  </si>
  <si>
    <t>C3443</t>
  </si>
  <si>
    <t>Sara Young</t>
  </si>
  <si>
    <t>8581745273</t>
  </si>
  <si>
    <t>C3444</t>
  </si>
  <si>
    <t>Adam Castillo</t>
  </si>
  <si>
    <t>alvarezjoshua@sandoval.com</t>
  </si>
  <si>
    <t>C3445</t>
  </si>
  <si>
    <t>Chelsea Kane</t>
  </si>
  <si>
    <t>lauraclay@gmail.com</t>
  </si>
  <si>
    <t>C3446</t>
  </si>
  <si>
    <t>Jennifer Haney</t>
  </si>
  <si>
    <t>sandyramirez@horton-michael.info</t>
  </si>
  <si>
    <t>C3447</t>
  </si>
  <si>
    <t>Dennis Gonzales</t>
  </si>
  <si>
    <t>rodgerstina@smith.com</t>
  </si>
  <si>
    <t>C3448</t>
  </si>
  <si>
    <t>Mary Robertson</t>
  </si>
  <si>
    <t>oconnorjames@gonzalez.info</t>
  </si>
  <si>
    <t>C3449</t>
  </si>
  <si>
    <t>Zachary Lopez</t>
  </si>
  <si>
    <t>iperez@wilson.com</t>
  </si>
  <si>
    <t>C3450</t>
  </si>
  <si>
    <t>Shane Ingram</t>
  </si>
  <si>
    <t>mary62@hotmail.com</t>
  </si>
  <si>
    <t>C3451</t>
  </si>
  <si>
    <t>Brent Chase</t>
  </si>
  <si>
    <t>thomassmith@johnson-thompson.biz</t>
  </si>
  <si>
    <t>C3452</t>
  </si>
  <si>
    <t>Deborah Casey</t>
  </si>
  <si>
    <t>duranjason@perry.com</t>
  </si>
  <si>
    <t>C3453</t>
  </si>
  <si>
    <t>Alexander Daniels</t>
  </si>
  <si>
    <t>jennifer88@nolan.info</t>
  </si>
  <si>
    <t>C3454</t>
  </si>
  <si>
    <t>William Greer</t>
  </si>
  <si>
    <t>stephaniecoleman@copeland.org</t>
  </si>
  <si>
    <t>C3455</t>
  </si>
  <si>
    <t>Micheal Martinez</t>
  </si>
  <si>
    <t>gonzalezkenneth@marshall.com</t>
  </si>
  <si>
    <t>C3456</t>
  </si>
  <si>
    <t>Jesse Tran</t>
  </si>
  <si>
    <t>C3457</t>
  </si>
  <si>
    <t>Tracy Bonilla</t>
  </si>
  <si>
    <t>jillianferguson@castro.org</t>
  </si>
  <si>
    <t>C3458</t>
  </si>
  <si>
    <t>Robert Blackwell</t>
  </si>
  <si>
    <t>holmesamber@lindsey.com</t>
  </si>
  <si>
    <t>C3459</t>
  </si>
  <si>
    <t>Brenda Becker</t>
  </si>
  <si>
    <t>ambermiller@medina.com</t>
  </si>
  <si>
    <t>6343594882</t>
  </si>
  <si>
    <t>C3460</t>
  </si>
  <si>
    <t>Christina Garner</t>
  </si>
  <si>
    <t>pattersonmelissa@taylor.com</t>
  </si>
  <si>
    <t>C3461</t>
  </si>
  <si>
    <t>Penny Hart</t>
  </si>
  <si>
    <t>ujones@payne.com</t>
  </si>
  <si>
    <t>C3462</t>
  </si>
  <si>
    <t>Amber Patel</t>
  </si>
  <si>
    <t>anthony00@hotmail.com</t>
  </si>
  <si>
    <t>C3463</t>
  </si>
  <si>
    <t>Melissa Osborn</t>
  </si>
  <si>
    <t>millerfrederick@morton.com</t>
  </si>
  <si>
    <t>C3464</t>
  </si>
  <si>
    <t>Christopher Becker</t>
  </si>
  <si>
    <t>gonzalespatricia@hotmail.com</t>
  </si>
  <si>
    <t>C3465</t>
  </si>
  <si>
    <t>Shannon Perez</t>
  </si>
  <si>
    <t>cobbkaitlyn@hotmail.com</t>
  </si>
  <si>
    <t>C3466</t>
  </si>
  <si>
    <t>Michelle Fernandez</t>
  </si>
  <si>
    <t>C3467</t>
  </si>
  <si>
    <t>Jessica Harris</t>
  </si>
  <si>
    <t>vanessaedwards@wilson.com</t>
  </si>
  <si>
    <t>C3468</t>
  </si>
  <si>
    <t>Wayne Morales</t>
  </si>
  <si>
    <t>christopherhess@hotmail.com</t>
  </si>
  <si>
    <t>C3469</t>
  </si>
  <si>
    <t>Joseph Fisher</t>
  </si>
  <si>
    <t>travis12@gmail.com</t>
  </si>
  <si>
    <t>C3470</t>
  </si>
  <si>
    <t>Frank Griffith</t>
  </si>
  <si>
    <t>edwardstaylor@hotmail.com</t>
  </si>
  <si>
    <t>C3471</t>
  </si>
  <si>
    <t>Benjamin Erickson</t>
  </si>
  <si>
    <t>mjohnson@gmail.com</t>
  </si>
  <si>
    <t>8557800244</t>
  </si>
  <si>
    <t>C3472</t>
  </si>
  <si>
    <t>Christine Quinn</t>
  </si>
  <si>
    <t>nina65@peterson.net</t>
  </si>
  <si>
    <t>C3473</t>
  </si>
  <si>
    <t>Andrea Fischer</t>
  </si>
  <si>
    <t>hgray@gutierrez.net</t>
  </si>
  <si>
    <t>C3474</t>
  </si>
  <si>
    <t>John Martin</t>
  </si>
  <si>
    <t>C3475</t>
  </si>
  <si>
    <t>Vanessa Good</t>
  </si>
  <si>
    <t>mike05@underwood-glover.biz</t>
  </si>
  <si>
    <t>C3476</t>
  </si>
  <si>
    <t>Christopher Barnes</t>
  </si>
  <si>
    <t>weberbrian@allen.org</t>
  </si>
  <si>
    <t>C3477</t>
  </si>
  <si>
    <t>Danielle Bell</t>
  </si>
  <si>
    <t>kristin09@hotmail.com</t>
  </si>
  <si>
    <t>4169105302</t>
  </si>
  <si>
    <t>C3478</t>
  </si>
  <si>
    <t>Travis Taylor</t>
  </si>
  <si>
    <t>calebadams@hebert.com</t>
  </si>
  <si>
    <t>C3479</t>
  </si>
  <si>
    <t>Nicholas Willis</t>
  </si>
  <si>
    <t>greenjessica@thompson.com</t>
  </si>
  <si>
    <t>C3480</t>
  </si>
  <si>
    <t>christine thomas</t>
  </si>
  <si>
    <t>mrobbins@holland.com</t>
  </si>
  <si>
    <t>C3481</t>
  </si>
  <si>
    <t>Garrett Walsh</t>
  </si>
  <si>
    <t>smontgomery@jackson.com</t>
  </si>
  <si>
    <t>C3482</t>
  </si>
  <si>
    <t>Kelly Ingram</t>
  </si>
  <si>
    <t>eric36@hotmail.com</t>
  </si>
  <si>
    <t>C3483</t>
  </si>
  <si>
    <t>Crystal Gonzales</t>
  </si>
  <si>
    <t>jennifer86@garcia.com</t>
  </si>
  <si>
    <t>C3484</t>
  </si>
  <si>
    <t>Kimberly Bishop</t>
  </si>
  <si>
    <t>shortkelly@hotmail.com</t>
  </si>
  <si>
    <t>C3485</t>
  </si>
  <si>
    <t>Spencer Webster</t>
  </si>
  <si>
    <t>michaelchristensen@yahoo.com</t>
  </si>
  <si>
    <t>C3486</t>
  </si>
  <si>
    <t>Sheri Herring</t>
  </si>
  <si>
    <t>richardperez@wood.com</t>
  </si>
  <si>
    <t>C3487</t>
  </si>
  <si>
    <t>Ryan Scott</t>
  </si>
  <si>
    <t>C3488</t>
  </si>
  <si>
    <t>Jessica Jackson</t>
  </si>
  <si>
    <t>harrisonkyle@roy-palmer.net</t>
  </si>
  <si>
    <t>C3489</t>
  </si>
  <si>
    <t>Sharon Freeman</t>
  </si>
  <si>
    <t>jessicarichardson@terry.com</t>
  </si>
  <si>
    <t>C3490</t>
  </si>
  <si>
    <t>Joseph Davis</t>
  </si>
  <si>
    <t>stevendecker@gmail.com</t>
  </si>
  <si>
    <t>6048869320</t>
  </si>
  <si>
    <t>C3491</t>
  </si>
  <si>
    <t>Tina Grimes</t>
  </si>
  <si>
    <t>robertsdanielle@yahoo.com</t>
  </si>
  <si>
    <t>C3492</t>
  </si>
  <si>
    <t>Samuel Simpson</t>
  </si>
  <si>
    <t>sabrinaclark@lee-fox.org</t>
  </si>
  <si>
    <t>C3493</t>
  </si>
  <si>
    <t>Jessica Brown</t>
  </si>
  <si>
    <t>fosterjeffrey@gmail.com</t>
  </si>
  <si>
    <t>C3494</t>
  </si>
  <si>
    <t>Randy Kirby</t>
  </si>
  <si>
    <t>daviscarol@owens.com</t>
  </si>
  <si>
    <t>C3495</t>
  </si>
  <si>
    <t>Summer Bowman</t>
  </si>
  <si>
    <t>brittneymccoy@vasquez.biz</t>
  </si>
  <si>
    <t>C3496</t>
  </si>
  <si>
    <t>Michael King</t>
  </si>
  <si>
    <t>C3497</t>
  </si>
  <si>
    <t>Adam Marquez</t>
  </si>
  <si>
    <t>benjaminrussell@gmail.com</t>
  </si>
  <si>
    <t>C3498</t>
  </si>
  <si>
    <t>Mr. Daniel Hamilton</t>
  </si>
  <si>
    <t>hullcheryl@crawford.com</t>
  </si>
  <si>
    <t>C3499</t>
  </si>
  <si>
    <t>Zachary Mckenzie</t>
  </si>
  <si>
    <t>umaxwell@hotmail.com</t>
  </si>
  <si>
    <t>Product_ID</t>
  </si>
  <si>
    <t>Product_Name</t>
  </si>
  <si>
    <t>Category</t>
  </si>
  <si>
    <t>Price</t>
  </si>
  <si>
    <t>Stock_Available</t>
  </si>
  <si>
    <t>P4000</t>
  </si>
  <si>
    <t>Electronics</t>
  </si>
  <si>
    <t>No</t>
  </si>
  <si>
    <t>P4001</t>
  </si>
  <si>
    <t>Stationery</t>
  </si>
  <si>
    <t>YES</t>
  </si>
  <si>
    <t>P4002</t>
  </si>
  <si>
    <t>Accessories</t>
  </si>
  <si>
    <t>P4003</t>
  </si>
  <si>
    <t>Furniture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</si>
  <si>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</si>
  <si>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</si>
  <si>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</si>
  <si>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</si>
  <si>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</si>
  <si>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</si>
  <si>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</si>
  <si>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</si>
  <si>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Yes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</si>
  <si>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</si>
  <si>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</si>
  <si>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</si>
  <si>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</si>
  <si>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</si>
  <si>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</si>
  <si>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</si>
  <si>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</si>
  <si>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</si>
  <si>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</si>
  <si>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</si>
  <si>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</si>
  <si>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</si>
  <si>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</si>
  <si>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</si>
  <si>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</si>
  <si>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</si>
  <si>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</si>
  <si>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</si>
  <si>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</si>
  <si>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</si>
  <si>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</si>
  <si>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</si>
  <si>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</si>
  <si>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</si>
  <si>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</si>
  <si>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</si>
  <si>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</si>
  <si>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</si>
  <si>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</si>
  <si>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</si>
  <si>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</si>
  <si>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</si>
  <si>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</si>
  <si>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</si>
  <si>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</si>
  <si>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</si>
  <si>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</si>
  <si>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</si>
  <si>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</si>
  <si>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</si>
  <si>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</si>
  <si>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</si>
  <si>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</si>
  <si>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</si>
  <si>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</si>
  <si>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</si>
  <si>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</si>
  <si>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</si>
  <si>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</si>
  <si>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</si>
  <si>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</si>
  <si>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</si>
  <si>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</si>
  <si>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</si>
  <si>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</si>
  <si>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</si>
  <si>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</si>
  <si>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</si>
  <si>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</si>
  <si>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</si>
  <si>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</si>
  <si>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</si>
  <si>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</si>
  <si>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</si>
  <si>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</si>
  <si>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</si>
  <si>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</si>
  <si>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</si>
  <si>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</si>
  <si>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</si>
  <si>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</si>
  <si>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</si>
  <si>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</si>
  <si>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</si>
  <si>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</si>
  <si>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</si>
  <si>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</si>
  <si>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</si>
  <si>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</si>
  <si>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</si>
  <si>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</si>
  <si>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</si>
  <si>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</si>
  <si>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</si>
  <si>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</si>
  <si>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</si>
  <si>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</si>
  <si>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</si>
  <si>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</si>
  <si>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</si>
  <si>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</si>
  <si>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</si>
  <si>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</si>
  <si>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</si>
  <si>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</si>
  <si>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</si>
  <si>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</si>
  <si>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</si>
  <si>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</si>
  <si>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</si>
  <si>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</si>
  <si>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</si>
  <si>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</si>
  <si>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</si>
  <si>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</si>
  <si>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</si>
  <si>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</si>
  <si>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</si>
  <si>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</si>
  <si>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</si>
  <si>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</si>
  <si>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</si>
  <si>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</si>
  <si>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</si>
  <si>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</si>
  <si>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</si>
  <si>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</si>
  <si>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</si>
  <si>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</si>
  <si>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</si>
  <si>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</si>
  <si>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</si>
  <si>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</si>
  <si>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</si>
  <si>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</si>
  <si>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</si>
  <si>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</si>
  <si>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</si>
  <si>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</si>
  <si>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</si>
  <si>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</si>
  <si>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</si>
  <si>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</si>
  <si>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</si>
  <si>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</si>
  <si>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</si>
  <si>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</si>
  <si>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</si>
  <si>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</si>
  <si>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</si>
  <si>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</si>
  <si>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</si>
  <si>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</si>
  <si>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</si>
  <si>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</si>
  <si>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</si>
  <si>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</si>
  <si>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</si>
  <si>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</si>
  <si>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</si>
  <si>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</si>
  <si>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</si>
  <si>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</si>
  <si>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</si>
  <si>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</si>
  <si>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</si>
  <si>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</si>
  <si>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</si>
  <si>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</si>
  <si>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</si>
  <si>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</si>
  <si>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</si>
  <si>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</si>
  <si>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</si>
  <si>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</si>
  <si>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</si>
  <si>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</si>
  <si>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</si>
  <si>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</si>
  <si>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</si>
  <si>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</si>
  <si>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</si>
  <si>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</si>
  <si>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</si>
  <si>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</si>
  <si>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</si>
  <si>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</si>
  <si>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</si>
  <si>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</si>
  <si>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</si>
  <si>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</si>
  <si>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</si>
  <si>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</si>
  <si>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</si>
  <si>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</si>
  <si>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</si>
  <si>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</si>
  <si>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</si>
  <si>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</si>
  <si>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</si>
  <si>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</si>
  <si>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</si>
  <si>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</si>
  <si>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</si>
  <si>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</si>
  <si>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</si>
  <si>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</si>
  <si>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</si>
  <si>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</si>
  <si>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</si>
  <si>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</si>
  <si>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</si>
  <si>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</si>
  <si>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</si>
  <si>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</si>
  <si>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</si>
  <si>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</si>
  <si>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</si>
  <si>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</si>
  <si>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</si>
  <si>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</si>
  <si>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</si>
  <si>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</si>
  <si>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</si>
  <si>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</si>
  <si>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</si>
  <si>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</si>
  <si>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</si>
  <si>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</si>
  <si>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</si>
  <si>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</si>
  <si>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</si>
  <si>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</si>
  <si>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</si>
  <si>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</si>
  <si>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</si>
  <si>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</si>
  <si>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</si>
  <si>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</si>
  <si>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</si>
  <si>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</si>
  <si>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</si>
  <si>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</si>
  <si>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</si>
  <si>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</si>
  <si>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</si>
  <si>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</si>
  <si>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</si>
  <si>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</si>
  <si>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</si>
  <si>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</si>
  <si>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</si>
  <si>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</si>
  <si>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</si>
  <si>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</si>
  <si>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</si>
  <si>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</si>
  <si>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</si>
  <si>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</si>
  <si>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</si>
  <si>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</si>
  <si>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</si>
  <si>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</si>
  <si>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</si>
  <si>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</si>
  <si>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</si>
  <si>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</si>
  <si>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</si>
  <si>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</si>
  <si>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</si>
  <si>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</si>
  <si>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</si>
  <si>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</si>
  <si>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</si>
  <si>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</si>
  <si>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</si>
  <si>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</si>
  <si>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</si>
  <si>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</si>
  <si>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</si>
  <si>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</si>
  <si>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</si>
  <si>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</si>
  <si>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</si>
  <si>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</si>
  <si>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</si>
  <si>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</si>
  <si>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</si>
  <si>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</si>
  <si>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</si>
  <si>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</si>
  <si>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</si>
  <si>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</si>
  <si>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</si>
  <si>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</si>
  <si>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</si>
  <si>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</si>
  <si>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</si>
  <si>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</si>
  <si>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</si>
  <si>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</si>
  <si>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</si>
  <si>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</si>
  <si>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</si>
  <si>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</si>
  <si>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</si>
  <si>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</si>
  <si>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</si>
  <si>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</si>
  <si>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</si>
  <si>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</si>
  <si>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</si>
  <si>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</si>
  <si>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</si>
  <si>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</si>
  <si>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</si>
  <si>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</si>
  <si>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</si>
  <si>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</si>
  <si>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</si>
  <si>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</si>
  <si>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</si>
  <si>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</si>
  <si>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</si>
  <si>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</si>
  <si>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</si>
  <si>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</si>
  <si>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</si>
  <si>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</si>
  <si>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</si>
  <si>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</si>
  <si>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</si>
  <si>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</si>
  <si>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</si>
  <si>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</si>
  <si>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</si>
  <si>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</si>
  <si>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</si>
  <si>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</si>
  <si>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</si>
  <si>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</si>
  <si>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</si>
  <si>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</si>
  <si>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</si>
  <si>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</si>
  <si>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</si>
  <si>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</si>
  <si>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</si>
  <si>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</si>
  <si>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</si>
  <si>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</si>
  <si>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</si>
  <si>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</si>
  <si>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</si>
  <si>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</si>
  <si>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</si>
  <si>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</si>
  <si>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</si>
  <si>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</si>
  <si>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</si>
  <si>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</si>
  <si>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</si>
  <si>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</si>
  <si>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</si>
  <si>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</si>
  <si>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</si>
  <si>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</si>
  <si>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</si>
  <si>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</si>
  <si>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</si>
  <si>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</si>
  <si>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</si>
  <si>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</si>
  <si>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</si>
  <si>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</si>
  <si>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</si>
  <si>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</si>
  <si>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</si>
  <si>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</si>
  <si>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</si>
  <si>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</si>
  <si>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</si>
  <si>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</si>
  <si>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</si>
  <si>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</si>
  <si>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</si>
  <si>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</si>
  <si>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</si>
  <si>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</si>
  <si>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</si>
  <si>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</si>
  <si>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</si>
  <si>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</si>
  <si>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</si>
  <si>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</si>
  <si>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</si>
  <si>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</si>
  <si>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</si>
  <si>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</si>
  <si>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</si>
  <si>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</si>
  <si>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</si>
  <si>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</si>
  <si>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</si>
  <si>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</si>
  <si>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</si>
  <si>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</si>
  <si>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</si>
  <si>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</si>
  <si>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</si>
  <si>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</si>
  <si>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</si>
  <si>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</si>
  <si>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</si>
  <si>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</si>
  <si>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</si>
  <si>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</si>
  <si>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</si>
  <si>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</si>
  <si>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</si>
  <si>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</si>
  <si>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</si>
  <si>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</si>
  <si>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</si>
  <si>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</si>
  <si>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</si>
  <si>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</si>
  <si>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</si>
  <si>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</si>
  <si>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</si>
  <si>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</si>
  <si>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</si>
  <si>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</si>
  <si>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</si>
  <si>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</si>
  <si>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</si>
  <si>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</si>
  <si>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</si>
  <si>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</si>
  <si>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</si>
  <si>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</si>
  <si>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</si>
  <si>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</si>
  <si>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</si>
  <si>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</si>
  <si>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</si>
  <si>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</si>
  <si>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</si>
  <si>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</si>
  <si>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</si>
  <si>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</si>
  <si>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</si>
  <si>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</si>
  <si>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</si>
  <si>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</si>
  <si>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</si>
  <si>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</si>
  <si>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</si>
  <si>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</si>
  <si>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</si>
  <si>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</si>
  <si>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</si>
  <si>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</si>
  <si>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</si>
  <si>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</si>
  <si>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</si>
  <si>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</si>
  <si>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</si>
  <si>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</si>
  <si>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</si>
  <si>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</si>
  <si>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</si>
  <si>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</si>
  <si>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</si>
  <si>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</si>
  <si>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</si>
  <si>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</si>
  <si>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</si>
  <si>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</si>
  <si>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</si>
  <si>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</si>
  <si>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</si>
  <si>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</si>
  <si>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</si>
  <si>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</si>
  <si>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</si>
  <si>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</si>
  <si>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</si>
  <si>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</si>
  <si>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</si>
  <si>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</si>
  <si>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</si>
  <si>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</si>
  <si>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</si>
  <si>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</si>
  <si>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</si>
  <si>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</si>
  <si>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Q_No</t>
  </si>
  <si>
    <t>Question</t>
  </si>
  <si>
    <t>Sheet_Name</t>
  </si>
  <si>
    <t>Remove duplicate records from Employee data</t>
  </si>
  <si>
    <t>Raw_Employee_Data</t>
  </si>
  <si>
    <t>Standardize all department names to proper case</t>
  </si>
  <si>
    <t>Trim extra spaces in Employee names</t>
  </si>
  <si>
    <t>Fill missing Email IDs with 'Not Available'</t>
  </si>
  <si>
    <t>Convert all joining dates to 'dd-mm-yyyy' format</t>
  </si>
  <si>
    <t>Replace blank Salaries with average salary</t>
  </si>
  <si>
    <t>Fix incorrect text 'Two' in Quantity column</t>
  </si>
  <si>
    <t>Sales_Transactions</t>
  </si>
  <si>
    <t>Convert '15k' to numeric in Unit_Price</t>
  </si>
  <si>
    <t>Remove rows with missing Emp_ID</t>
  </si>
  <si>
    <t>Ensure Sale_Date has uniform format</t>
  </si>
  <si>
    <t>Identify and remove duplicate customers</t>
  </si>
  <si>
    <t>Customer_Master</t>
  </si>
  <si>
    <t>Fix invalid emails in Customer_Master</t>
  </si>
  <si>
    <t>Capitalize first letter of each city</t>
  </si>
  <si>
    <t>Replace missing country names with 'India'</t>
  </si>
  <si>
    <t>Remove special characters from phone numbers</t>
  </si>
  <si>
    <t>Correct inconsistent category values</t>
  </si>
  <si>
    <t>Product_List</t>
  </si>
  <si>
    <t>Fill missing Price with median price</t>
  </si>
  <si>
    <t>Convert 'YES'/'No' in Stock_Available to Yes/No</t>
  </si>
  <si>
    <t>Identify products with missing price</t>
  </si>
  <si>
    <t>Standardize text casing across all product names</t>
  </si>
  <si>
    <t>Detect outlier salaries</t>
  </si>
  <si>
    <t>Remove extra spaces in department names</t>
  </si>
  <si>
    <t>Replace null Total_Sale values</t>
  </si>
  <si>
    <t>Correct inconsistent date format</t>
  </si>
  <si>
    <t>Identify employees without emails</t>
  </si>
  <si>
    <t>Combine first and last name properly</t>
  </si>
  <si>
    <t>Extract month from Sale_Date</t>
  </si>
  <si>
    <t>Highlight missing phone numbers</t>
  </si>
  <si>
    <t>Detect duplicate Product_IDs</t>
  </si>
  <si>
    <t>Remove non-printable characters</t>
  </si>
  <si>
    <t>Q2. Proper</t>
  </si>
  <si>
    <t>Q3. Trim</t>
  </si>
  <si>
    <t>Q4. ISBLANK</t>
  </si>
  <si>
    <t>Q5 Text</t>
  </si>
  <si>
    <t>Q12</t>
  </si>
  <si>
    <t>kolkata</t>
  </si>
  <si>
    <t>Q13. Proper</t>
  </si>
  <si>
    <t>Q17. Median</t>
  </si>
  <si>
    <t>Q18. Proper</t>
  </si>
  <si>
    <t>Q19. Isblank</t>
  </si>
  <si>
    <t>Q20. Proper</t>
  </si>
  <si>
    <t>Q22. Trim</t>
  </si>
  <si>
    <t>Q23. Total_Sale</t>
  </si>
  <si>
    <t>Q25.</t>
  </si>
  <si>
    <t>Q27. Text</t>
  </si>
  <si>
    <t>Q29. Countif</t>
  </si>
  <si>
    <t>Q30. Clean</t>
  </si>
  <si>
    <t>Q6. SALARY</t>
  </si>
  <si>
    <t>(053)7666081126</t>
  </si>
  <si>
    <t>(932)59140849932</t>
  </si>
  <si>
    <t>(908)726176072348</t>
  </si>
  <si>
    <t>(612)9965082695</t>
  </si>
  <si>
    <t>(207)26629250817</t>
  </si>
  <si>
    <t>(617)8170321192</t>
  </si>
  <si>
    <t>(505)87146921821</t>
  </si>
  <si>
    <t>(040)5669579001</t>
  </si>
  <si>
    <t>(482)5544286</t>
  </si>
  <si>
    <t>(338)91562415285</t>
  </si>
  <si>
    <t>(491)1650200</t>
  </si>
  <si>
    <t>(643)0954497</t>
  </si>
  <si>
    <t>(988)3220125</t>
  </si>
  <si>
    <t>(083)20048797888</t>
  </si>
  <si>
    <t>(022)13217672019</t>
  </si>
  <si>
    <t>(093)5561039</t>
  </si>
  <si>
    <t>(858)5642304120</t>
  </si>
  <si>
    <t>(706)1592738</t>
  </si>
  <si>
    <t>(248)1554203</t>
  </si>
  <si>
    <t>(491)579554623471</t>
  </si>
  <si>
    <t>(476)0108018</t>
  </si>
  <si>
    <t>(662)159183270004</t>
  </si>
  <si>
    <t>(661)45901107977</t>
  </si>
  <si>
    <t>(984)16612374077</t>
  </si>
  <si>
    <t>(041)8135998</t>
  </si>
  <si>
    <t>(883)9785708200</t>
  </si>
  <si>
    <t>(769)7040953</t>
  </si>
  <si>
    <t>(923)6133760523</t>
  </si>
  <si>
    <t>(259)16011241158</t>
  </si>
  <si>
    <t>(642)6121203</t>
  </si>
  <si>
    <t>(482)4218385454</t>
  </si>
  <si>
    <t>(217)50801963045</t>
  </si>
  <si>
    <t>(293)28809832210</t>
  </si>
  <si>
    <t>(610)089876108143</t>
  </si>
  <si>
    <t>(614)0384531980</t>
  </si>
  <si>
    <t>(899)96269708386</t>
  </si>
  <si>
    <t>(175)5851777</t>
  </si>
  <si>
    <t>(705)6820922570</t>
  </si>
  <si>
    <t>(472)8289540</t>
  </si>
  <si>
    <t>(616)8507105</t>
  </si>
  <si>
    <t>(294)4716198273</t>
  </si>
  <si>
    <t>(486)06739834488</t>
  </si>
  <si>
    <t>(968)01867740378</t>
  </si>
  <si>
    <t>(732)90457598875</t>
  </si>
  <si>
    <t>(238)0236219215</t>
  </si>
  <si>
    <t>(588)1959772168</t>
  </si>
  <si>
    <t>(839)4823220</t>
  </si>
  <si>
    <t>(174)690298310438</t>
  </si>
  <si>
    <t>(626)1142436</t>
  </si>
  <si>
    <t>(945)35365974669</t>
  </si>
  <si>
    <t>(426)8744701732</t>
  </si>
  <si>
    <t>(337)014005278105</t>
  </si>
  <si>
    <t>(094)391368172031</t>
  </si>
  <si>
    <t>(070)2042620</t>
  </si>
  <si>
    <t>(449)74700026876</t>
  </si>
  <si>
    <t>(560)45006355373</t>
  </si>
  <si>
    <t>(364)315948989596</t>
  </si>
  <si>
    <t>(466)3454434414</t>
  </si>
  <si>
    <t>(589)63595708619</t>
  </si>
  <si>
    <t>(203)3474246</t>
  </si>
  <si>
    <t>(406)5838727</t>
  </si>
  <si>
    <t>(433)87220542216</t>
  </si>
  <si>
    <t>(654)9633083</t>
  </si>
  <si>
    <t>(920)6165812920</t>
  </si>
  <si>
    <t>(154)98085133138</t>
  </si>
  <si>
    <t>(990)0768627</t>
  </si>
  <si>
    <t>(823)3921883</t>
  </si>
  <si>
    <t>(279)1875067761</t>
  </si>
  <si>
    <t>(990)7472966</t>
  </si>
  <si>
    <t>(418)39841673478</t>
  </si>
  <si>
    <t>(648)90082484581</t>
  </si>
  <si>
    <t>(990)6745686</t>
  </si>
  <si>
    <t>(240)6221559967</t>
  </si>
  <si>
    <t>(562)2219053</t>
  </si>
  <si>
    <t>(855)8522942525</t>
  </si>
  <si>
    <t>(857)5958281</t>
  </si>
  <si>
    <t>(488)3971705</t>
  </si>
  <si>
    <t>(437)3615873</t>
  </si>
  <si>
    <t>(627)13589693353</t>
  </si>
  <si>
    <t>(639)79255116436</t>
  </si>
  <si>
    <t>(053)428164416101</t>
  </si>
  <si>
    <t>(174)2240432611</t>
  </si>
  <si>
    <t>(023)442252160252</t>
  </si>
  <si>
    <t>(690)3265513</t>
  </si>
  <si>
    <t>(761)7948024</t>
  </si>
  <si>
    <t>(598)5160211915</t>
  </si>
  <si>
    <t>(139)8654622</t>
  </si>
  <si>
    <t>(085)48186746300</t>
  </si>
  <si>
    <t>(672)01082402818</t>
  </si>
  <si>
    <t>(238)7940262</t>
  </si>
  <si>
    <t>(364)2357004129</t>
  </si>
  <si>
    <t>(734)7243586176</t>
  </si>
  <si>
    <t>(647)8370317543</t>
  </si>
  <si>
    <t>(076)3271353</t>
  </si>
  <si>
    <t>(159)764053567078</t>
  </si>
  <si>
    <t>(273)6273202</t>
  </si>
  <si>
    <t>(271)1175769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</si>
</sst>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0" fontId="0" fillId="0" borderId="3" xfId="0" applyFill="1" applyBorder="1"/>
    <xf numFmtId="0" fontId="1" fillId="0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 indent="1"/>
    </xf>
    <xf numFmtId="0" fontId="0" fillId="0" borderId="0" xfId="0" applyAlignment="1">
      <alignment horizontal="left" indent="1"/>
    </xf>
    <xf numFmtId="0" fontId="0" fillId="0" borderId="1" xfId="0" applyNumberFormat="1" applyBorder="1" applyAlignment="1">
      <alignment horizontal="left" indent="1"/>
    </xf>
    <xf numFmtId="2" fontId="0" fillId="0" borderId="1" xfId="0" applyNumberFormat="1" applyBorder="1" applyAlignment="1">
      <alignment horizontal="left" indent="1"/>
    </xf>
    <xf numFmtId="165" fontId="1" fillId="0" borderId="1" xfId="0" applyNumberFormat="1" applyFont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2" fillId="0" borderId="3" xfId="0" applyFont="1" applyFill="1" applyBorder="1" applyAlignment="1">
      <alignment horizontal="center" vertical="top"/>
    </xf>
    <xf numFmtId="0" fontId="0" fillId="0" borderId="4" xfId="0" applyFill="1" applyBorder="1"/>
    <xf numFmtId="0" fontId="2" fillId="0" borderId="1" xfId="0" applyFont="1" applyBorder="1" applyAlignment="1">
      <alignment horizontal="left" vertical="top" indent="1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opLeftCell="I1" workbookViewId="0">
      <selection activeCell="J14" sqref="J14"/>
    </sheetView>
  </sheetViews>
  <sheetFormatPr defaultRowHeight="14.6" x14ac:dyDescent="0.4"/>
  <cols>
    <col min="1" max="1" width="7.53515625" bestFit="1" customWidth="1"/>
    <col min="2" max="2" width="20.69140625" bestFit="1" customWidth="1"/>
    <col min="3" max="3" width="11.07421875" bestFit="1" customWidth="1"/>
    <col min="4" max="4" width="11.765625" bestFit="1" customWidth="1"/>
    <col min="5" max="5" width="34.69140625" bestFit="1" customWidth="1"/>
    <col min="6" max="6" width="22.23046875" bestFit="1" customWidth="1"/>
    <col min="7" max="7" width="14.3046875" style="8" bestFit="1" customWidth="1"/>
    <col min="8" max="8" width="9.921875" bestFit="1" customWidth="1"/>
    <col min="9" max="9" width="20.3828125" bestFit="1" customWidth="1"/>
    <col min="10" max="10" width="34.61328125" bestFit="1" customWidth="1"/>
    <col min="11" max="11" width="10.07421875" bestFit="1" customWidth="1"/>
    <col min="12" max="12" width="12.61328125" bestFit="1" customWidth="1"/>
    <col min="13" max="13" width="14.3046875" style="8" bestFit="1" customWidth="1"/>
    <col min="14" max="14" width="10" bestFit="1" customWidth="1"/>
    <col min="15" max="15" width="20.382812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6" t="s">
        <v>3724</v>
      </c>
      <c r="I1" s="6" t="s">
        <v>3725</v>
      </c>
      <c r="J1" s="6" t="s">
        <v>3726</v>
      </c>
      <c r="K1" s="6" t="s">
        <v>3727</v>
      </c>
      <c r="L1" s="6" t="s">
        <v>3741</v>
      </c>
      <c r="M1" s="16" t="s">
        <v>3735</v>
      </c>
      <c r="N1" s="17" t="s">
        <v>3737</v>
      </c>
      <c r="O1" s="14" t="s">
        <v>3740</v>
      </c>
    </row>
    <row r="2" spans="1:17" x14ac:dyDescent="0.4">
      <c r="A2" s="2" t="s">
        <v>7</v>
      </c>
      <c r="B2" s="2" t="s">
        <v>8</v>
      </c>
      <c r="C2" s="2" t="s">
        <v>9</v>
      </c>
      <c r="D2" s="3">
        <v>45602</v>
      </c>
      <c r="E2" s="2" t="s">
        <v>10</v>
      </c>
      <c r="F2" s="2" t="s">
        <v>11</v>
      </c>
      <c r="G2" s="9"/>
      <c r="H2" t="str" cm="1">
        <f t="array" ref="H2:H251">PROPER(C2:C251)</f>
        <v>Operations</v>
      </c>
      <c r="I2" t="str" cm="1">
        <f t="array" ref="I2:I251">TRIM(B2:B251)</f>
        <v>ALLISON HILL</v>
      </c>
      <c r="J2" t="str" cm="1">
        <f t="array" ref="J2:J251">IF(ISBLANK(E2:E251),"Not Available",E2:E251)</f>
        <v>michaelcesar@johnson-ortiz.com</v>
      </c>
      <c r="K2" t="str">
        <f>TEXT(D2,"dd-mm-yyyy")</f>
        <v>06-11-2024</v>
      </c>
      <c r="L2" s="19">
        <f t="shared" ref="L2:L65" si="0">IF(ISBLANK(G2),AVERAGE($G$2:$G$251),G2)</f>
        <v>76306.43192771083</v>
      </c>
      <c r="M2" s="9" t="str" cm="1">
        <f t="array" ref="M2:M251">TRIM(C2:C251)</f>
        <v>Operations</v>
      </c>
      <c r="N2" s="2" t="str">
        <f>IF(ISBLANK(E2),"No Email","Has Email")</f>
        <v>Has Email</v>
      </c>
      <c r="O2" t="str">
        <f>CLEAN(B2)</f>
        <v>ALLISON HILL</v>
      </c>
    </row>
    <row r="3" spans="1:17" x14ac:dyDescent="0.4">
      <c r="A3" s="2" t="s">
        <v>14</v>
      </c>
      <c r="B3" s="2" t="s">
        <v>15</v>
      </c>
      <c r="C3" s="2" t="s">
        <v>13</v>
      </c>
      <c r="D3" s="3">
        <v>44786</v>
      </c>
      <c r="E3" s="2" t="s">
        <v>16</v>
      </c>
      <c r="F3" s="2" t="s">
        <v>17</v>
      </c>
      <c r="G3" s="10">
        <v>32108.68</v>
      </c>
      <c r="H3" t="str">
        <v>Hr</v>
      </c>
      <c r="I3" t="str">
        <v>Angie Henderson</v>
      </c>
      <c r="J3" t="str">
        <v>vegadorothy@hotmail.com</v>
      </c>
      <c r="K3" t="str">
        <f t="shared" ref="K3:K66" si="1">TEXT(D3,"dd-mm-yyyy")</f>
        <v>13-08-2022</v>
      </c>
      <c r="L3" s="19">
        <f t="shared" si="0"/>
        <v>32108.68</v>
      </c>
      <c r="M3" s="10" t="str">
        <v>HR</v>
      </c>
      <c r="N3" s="2" t="str">
        <f t="shared" ref="N3:N66" si="2">IF(ISBLANK(E3),"No Email","Has Email")</f>
        <v>Has Email</v>
      </c>
      <c r="O3" t="str">
        <f t="shared" ref="O3:O66" si="3">CLEAN(B3)</f>
        <v>Angie Henderson</v>
      </c>
      <c r="Q3">
        <f>AVERAGE(G3)</f>
        <v>32108.68</v>
      </c>
    </row>
    <row r="4" spans="1:17" x14ac:dyDescent="0.4">
      <c r="A4" s="2" t="s">
        <v>18</v>
      </c>
      <c r="B4" s="2" t="s">
        <v>19</v>
      </c>
      <c r="C4" s="2" t="s">
        <v>9</v>
      </c>
      <c r="D4" s="3">
        <v>44266</v>
      </c>
      <c r="E4" s="2" t="s">
        <v>20</v>
      </c>
      <c r="F4" s="2" t="s">
        <v>21</v>
      </c>
      <c r="G4" s="10">
        <v>57163.32</v>
      </c>
      <c r="H4" t="str">
        <v>Operations</v>
      </c>
      <c r="I4" t="str">
        <v>Daniel Wagner</v>
      </c>
      <c r="J4" t="str">
        <v>david86@anderson.com</v>
      </c>
      <c r="K4" t="str">
        <f t="shared" si="1"/>
        <v>11-03-2021</v>
      </c>
      <c r="L4" s="19">
        <f t="shared" si="0"/>
        <v>57163.32</v>
      </c>
      <c r="M4" s="10" t="str">
        <v>Operations</v>
      </c>
      <c r="N4" s="2" t="str">
        <f t="shared" si="2"/>
        <v>Has Email</v>
      </c>
      <c r="O4" t="str">
        <f t="shared" si="3"/>
        <v>Daniel Wagner</v>
      </c>
    </row>
    <row r="5" spans="1:17" x14ac:dyDescent="0.4">
      <c r="A5" s="2" t="s">
        <v>22</v>
      </c>
      <c r="B5" s="2" t="s">
        <v>23</v>
      </c>
      <c r="C5" s="2" t="s">
        <v>24</v>
      </c>
      <c r="D5" s="3">
        <v>44044</v>
      </c>
      <c r="E5" s="2" t="s">
        <v>25</v>
      </c>
      <c r="F5" s="2" t="s">
        <v>26</v>
      </c>
      <c r="G5" s="10">
        <v>86734.48</v>
      </c>
      <c r="H5" t="str">
        <v>It</v>
      </c>
      <c r="I5" t="str">
        <v>Cristian Santos</v>
      </c>
      <c r="J5" t="str">
        <v>inunez@yahoo.com</v>
      </c>
      <c r="K5" t="str">
        <f t="shared" si="1"/>
        <v>01-08-2020</v>
      </c>
      <c r="L5" s="19">
        <f t="shared" si="0"/>
        <v>86734.48</v>
      </c>
      <c r="M5" s="10" t="str">
        <v>IT</v>
      </c>
      <c r="N5" s="2" t="str">
        <f t="shared" si="2"/>
        <v>Has Email</v>
      </c>
      <c r="O5" t="str">
        <f t="shared" si="3"/>
        <v>Cristian Santos</v>
      </c>
    </row>
    <row r="6" spans="1:17" x14ac:dyDescent="0.4">
      <c r="A6" s="2" t="s">
        <v>27</v>
      </c>
      <c r="B6" s="2" t="s">
        <v>28</v>
      </c>
      <c r="C6" s="2" t="s">
        <v>29</v>
      </c>
      <c r="D6" s="3">
        <v>43864</v>
      </c>
      <c r="E6" s="2" t="s">
        <v>30</v>
      </c>
      <c r="F6" s="2" t="s">
        <v>31</v>
      </c>
      <c r="G6" s="10">
        <v>105972.43</v>
      </c>
      <c r="H6" t="str">
        <v>Finance</v>
      </c>
      <c r="I6" t="str">
        <v>Connie Lawrence</v>
      </c>
      <c r="J6" t="str">
        <v>johnreed@yahoo.com</v>
      </c>
      <c r="K6" t="str">
        <f t="shared" si="1"/>
        <v>03-02-2020</v>
      </c>
      <c r="L6" s="19">
        <f t="shared" si="0"/>
        <v>105972.43</v>
      </c>
      <c r="M6" s="10" t="str">
        <v>Finance</v>
      </c>
      <c r="N6" s="2" t="str">
        <f t="shared" si="2"/>
        <v>Has Email</v>
      </c>
      <c r="O6" t="str">
        <f t="shared" si="3"/>
        <v>Connie Lawrence</v>
      </c>
    </row>
    <row r="7" spans="1:17" x14ac:dyDescent="0.4">
      <c r="A7" s="2" t="s">
        <v>32</v>
      </c>
      <c r="B7" s="2" t="s">
        <v>33</v>
      </c>
      <c r="C7" s="2" t="s">
        <v>29</v>
      </c>
      <c r="D7" s="3">
        <v>43017</v>
      </c>
      <c r="E7" s="2" t="s">
        <v>34</v>
      </c>
      <c r="F7" s="2" t="s">
        <v>35</v>
      </c>
      <c r="G7" s="10">
        <v>115643.26</v>
      </c>
      <c r="H7" t="str">
        <v>Finance</v>
      </c>
      <c r="I7" t="str">
        <v>Abigail Shaffer</v>
      </c>
      <c r="J7" t="str">
        <v>johnsondonna@miranda.com</v>
      </c>
      <c r="K7" t="str">
        <f t="shared" si="1"/>
        <v>09-10-2017</v>
      </c>
      <c r="L7" s="19">
        <f t="shared" si="0"/>
        <v>115643.26</v>
      </c>
      <c r="M7" s="10" t="str">
        <v>Finance</v>
      </c>
      <c r="N7" s="2" t="str">
        <f t="shared" si="2"/>
        <v>Has Email</v>
      </c>
      <c r="O7" t="str">
        <f t="shared" si="3"/>
        <v>Abigail Shaffer</v>
      </c>
    </row>
    <row r="8" spans="1:17" x14ac:dyDescent="0.4">
      <c r="A8" s="2" t="s">
        <v>37</v>
      </c>
      <c r="B8" s="2" t="s">
        <v>38</v>
      </c>
      <c r="C8" s="2" t="s">
        <v>13</v>
      </c>
      <c r="D8" s="3">
        <v>45413</v>
      </c>
      <c r="E8" s="2"/>
      <c r="F8" s="2" t="s">
        <v>39</v>
      </c>
      <c r="G8" s="10">
        <v>84960.3</v>
      </c>
      <c r="H8" t="str">
        <v>Hr</v>
      </c>
      <c r="I8" t="str">
        <v>Ryan Munoz</v>
      </c>
      <c r="J8" t="str">
        <v>Not Available</v>
      </c>
      <c r="K8" t="str">
        <f t="shared" si="1"/>
        <v>01-05-2024</v>
      </c>
      <c r="L8" s="19">
        <f t="shared" si="0"/>
        <v>84960.3</v>
      </c>
      <c r="M8" s="10" t="str">
        <v>HR</v>
      </c>
      <c r="N8" s="2" t="str">
        <f t="shared" si="2"/>
        <v>No Email</v>
      </c>
      <c r="O8" t="str">
        <f t="shared" si="3"/>
        <v>Ryan Munoz</v>
      </c>
    </row>
    <row r="9" spans="1:17" x14ac:dyDescent="0.4">
      <c r="A9" s="2" t="s">
        <v>42</v>
      </c>
      <c r="B9" s="2" t="s">
        <v>43</v>
      </c>
      <c r="C9" s="2" t="s">
        <v>13</v>
      </c>
      <c r="D9" s="3">
        <v>43044</v>
      </c>
      <c r="E9" s="2" t="s">
        <v>44</v>
      </c>
      <c r="F9" s="2" t="s">
        <v>45</v>
      </c>
      <c r="G9" s="10">
        <v>67149.460000000006</v>
      </c>
      <c r="H9" t="str">
        <v>Hr</v>
      </c>
      <c r="I9" t="str">
        <v>Michele Williams</v>
      </c>
      <c r="J9" t="str">
        <v>heather62@yahoo.com</v>
      </c>
      <c r="K9" t="str">
        <f t="shared" si="1"/>
        <v>05-11-2017</v>
      </c>
      <c r="L9" s="19">
        <f t="shared" si="0"/>
        <v>67149.460000000006</v>
      </c>
      <c r="M9" s="10" t="str">
        <v>HR</v>
      </c>
      <c r="N9" s="2" t="str">
        <f t="shared" si="2"/>
        <v>Has Email</v>
      </c>
      <c r="O9" t="str">
        <f t="shared" si="3"/>
        <v>Michele Williams</v>
      </c>
    </row>
    <row r="10" spans="1:17" x14ac:dyDescent="0.4">
      <c r="A10" s="2" t="s">
        <v>49</v>
      </c>
      <c r="B10" s="2" t="s">
        <v>50</v>
      </c>
      <c r="C10" s="2" t="s">
        <v>13</v>
      </c>
      <c r="D10" s="3">
        <v>45086</v>
      </c>
      <c r="E10" s="2" t="s">
        <v>51</v>
      </c>
      <c r="F10" s="2" t="s">
        <v>52</v>
      </c>
      <c r="G10" s="10">
        <v>52869.94</v>
      </c>
      <c r="H10" t="str">
        <v>Hr</v>
      </c>
      <c r="I10" t="str">
        <v>Holly Wood</v>
      </c>
      <c r="J10" t="str">
        <v>igrant@yahoo.com</v>
      </c>
      <c r="K10" t="str">
        <f t="shared" si="1"/>
        <v>09-06-2023</v>
      </c>
      <c r="L10" s="19">
        <f t="shared" si="0"/>
        <v>52869.94</v>
      </c>
      <c r="M10" s="10" t="str">
        <v>HR</v>
      </c>
      <c r="N10" s="2" t="str">
        <f t="shared" si="2"/>
        <v>Has Email</v>
      </c>
      <c r="O10" t="str">
        <f t="shared" si="3"/>
        <v>Holly Wood</v>
      </c>
    </row>
    <row r="11" spans="1:17" x14ac:dyDescent="0.4">
      <c r="A11" s="2" t="s">
        <v>56</v>
      </c>
      <c r="B11" s="2" t="s">
        <v>57</v>
      </c>
      <c r="C11" s="2" t="s">
        <v>29</v>
      </c>
      <c r="D11" s="3">
        <v>43556</v>
      </c>
      <c r="E11" s="2" t="s">
        <v>58</v>
      </c>
      <c r="F11" s="2" t="s">
        <v>59</v>
      </c>
      <c r="G11" s="10">
        <v>82901.72</v>
      </c>
      <c r="H11" t="str">
        <v>Finance</v>
      </c>
      <c r="I11" t="str">
        <v>Margaret Hawkins DDS</v>
      </c>
      <c r="J11" t="str">
        <v>srocha@padilla.com</v>
      </c>
      <c r="K11" t="str">
        <f t="shared" si="1"/>
        <v>01-04-2019</v>
      </c>
      <c r="L11" s="19">
        <f t="shared" si="0"/>
        <v>82901.72</v>
      </c>
      <c r="M11" s="10" t="str">
        <v>Finance</v>
      </c>
      <c r="N11" s="2" t="str">
        <f t="shared" si="2"/>
        <v>Has Email</v>
      </c>
      <c r="O11" t="str">
        <f t="shared" si="3"/>
        <v>Margaret Hawkins DDS</v>
      </c>
    </row>
    <row r="12" spans="1:17" x14ac:dyDescent="0.4">
      <c r="A12" s="2" t="s">
        <v>63</v>
      </c>
      <c r="B12" s="2" t="s">
        <v>64</v>
      </c>
      <c r="C12" s="2" t="s">
        <v>13</v>
      </c>
      <c r="D12" s="3">
        <v>42773</v>
      </c>
      <c r="E12" s="2" t="s">
        <v>65</v>
      </c>
      <c r="F12" s="2" t="s">
        <v>66</v>
      </c>
      <c r="G12" s="10">
        <v>47057.9</v>
      </c>
      <c r="H12" t="str">
        <v>Hr</v>
      </c>
      <c r="I12" t="str">
        <v>Tommy Walter</v>
      </c>
      <c r="J12" t="str">
        <v>robin55@yahoo.com</v>
      </c>
      <c r="K12" t="str">
        <f t="shared" si="1"/>
        <v>07-02-2017</v>
      </c>
      <c r="L12" s="19">
        <f t="shared" si="0"/>
        <v>47057.9</v>
      </c>
      <c r="M12" s="10" t="str">
        <v>HR</v>
      </c>
      <c r="N12" s="2" t="str">
        <f t="shared" si="2"/>
        <v>Has Email</v>
      </c>
      <c r="O12" t="str">
        <f t="shared" si="3"/>
        <v>Tommy Walter</v>
      </c>
    </row>
    <row r="13" spans="1:17" x14ac:dyDescent="0.4">
      <c r="A13" s="2" t="s">
        <v>68</v>
      </c>
      <c r="B13" s="2" t="s">
        <v>69</v>
      </c>
      <c r="C13" s="2" t="s">
        <v>29</v>
      </c>
      <c r="D13" s="3">
        <v>43385</v>
      </c>
      <c r="E13" s="2" t="s">
        <v>70</v>
      </c>
      <c r="F13" s="2" t="s">
        <v>71</v>
      </c>
      <c r="G13" s="10">
        <v>110396.31</v>
      </c>
      <c r="H13" t="str">
        <v>Finance</v>
      </c>
      <c r="I13" t="str">
        <v>Judy Baker</v>
      </c>
      <c r="J13" t="str">
        <v>jerry93@pierce-harding.com</v>
      </c>
      <c r="K13" t="str">
        <f t="shared" si="1"/>
        <v>12-10-2018</v>
      </c>
      <c r="L13" s="19">
        <f t="shared" si="0"/>
        <v>110396.31</v>
      </c>
      <c r="M13" s="10" t="str">
        <v>Finance</v>
      </c>
      <c r="N13" s="2" t="str">
        <f t="shared" si="2"/>
        <v>Has Email</v>
      </c>
      <c r="O13" t="str">
        <f t="shared" si="3"/>
        <v>Judy Baker</v>
      </c>
    </row>
    <row r="14" spans="1:17" x14ac:dyDescent="0.4">
      <c r="A14" s="2" t="s">
        <v>73</v>
      </c>
      <c r="B14" s="2" t="s">
        <v>74</v>
      </c>
      <c r="C14" s="2" t="s">
        <v>9</v>
      </c>
      <c r="D14" s="3">
        <v>42858</v>
      </c>
      <c r="E14" s="2" t="s">
        <v>75</v>
      </c>
      <c r="F14" s="2" t="s">
        <v>76</v>
      </c>
      <c r="G14" s="10">
        <v>32016.880000000001</v>
      </c>
      <c r="H14" t="str">
        <v>Operations</v>
      </c>
      <c r="I14" t="str">
        <v>Stephanie Ross</v>
      </c>
      <c r="J14" t="str">
        <v>yjackson@yahoo.com</v>
      </c>
      <c r="K14" t="str">
        <f t="shared" si="1"/>
        <v>03-05-2017</v>
      </c>
      <c r="L14" s="19">
        <f t="shared" si="0"/>
        <v>32016.880000000001</v>
      </c>
      <c r="M14" s="10" t="str">
        <v>Operations</v>
      </c>
      <c r="N14" s="2" t="str">
        <f t="shared" si="2"/>
        <v>Has Email</v>
      </c>
      <c r="O14" t="str">
        <f t="shared" si="3"/>
        <v>Stephanie Ross</v>
      </c>
    </row>
    <row r="15" spans="1:17" x14ac:dyDescent="0.4">
      <c r="A15" s="2" t="s">
        <v>77</v>
      </c>
      <c r="B15" s="2" t="s">
        <v>78</v>
      </c>
      <c r="C15" s="2" t="s">
        <v>9</v>
      </c>
      <c r="D15" s="3">
        <v>44298</v>
      </c>
      <c r="E15" s="2" t="s">
        <v>79</v>
      </c>
      <c r="F15" s="2" t="s">
        <v>80</v>
      </c>
      <c r="G15" s="10">
        <v>118826.91</v>
      </c>
      <c r="H15" t="str">
        <v>Operations</v>
      </c>
      <c r="I15" t="str">
        <v>Zachary Hicks</v>
      </c>
      <c r="J15" t="str">
        <v>jenniferfreeman@mooney.com</v>
      </c>
      <c r="K15" t="str">
        <f t="shared" si="1"/>
        <v>12-04-2021</v>
      </c>
      <c r="L15" s="19">
        <f t="shared" si="0"/>
        <v>118826.91</v>
      </c>
      <c r="M15" s="10" t="str">
        <v>Operations</v>
      </c>
      <c r="N15" s="2" t="str">
        <f t="shared" si="2"/>
        <v>Has Email</v>
      </c>
      <c r="O15" t="str">
        <f t="shared" si="3"/>
        <v>Zachary Hicks</v>
      </c>
    </row>
    <row r="16" spans="1:17" x14ac:dyDescent="0.4">
      <c r="A16" s="2" t="s">
        <v>81</v>
      </c>
      <c r="B16" s="2" t="s">
        <v>82</v>
      </c>
      <c r="C16" s="2" t="s">
        <v>41</v>
      </c>
      <c r="D16" s="3">
        <v>44471</v>
      </c>
      <c r="E16" s="2" t="s">
        <v>83</v>
      </c>
      <c r="F16" s="2" t="s">
        <v>84</v>
      </c>
      <c r="G16" s="10">
        <v>85699.18</v>
      </c>
      <c r="H16" t="str">
        <v>Sales</v>
      </c>
      <c r="I16" t="str">
        <v>Anthony Rodriguez</v>
      </c>
      <c r="J16" t="str">
        <v>gutierrezmegan@jones.com</v>
      </c>
      <c r="K16" t="str">
        <f t="shared" si="1"/>
        <v>02-10-2021</v>
      </c>
      <c r="L16" s="19">
        <f t="shared" si="0"/>
        <v>85699.18</v>
      </c>
      <c r="M16" s="10" t="str">
        <v>Sales</v>
      </c>
      <c r="N16" s="2" t="str">
        <f t="shared" si="2"/>
        <v>Has Email</v>
      </c>
      <c r="O16" t="str">
        <f t="shared" si="3"/>
        <v>Anthony Rodriguez</v>
      </c>
    </row>
    <row r="17" spans="1:15" x14ac:dyDescent="0.4">
      <c r="A17" s="2" t="s">
        <v>85</v>
      </c>
      <c r="B17" s="2" t="s">
        <v>86</v>
      </c>
      <c r="C17" s="2" t="s">
        <v>48</v>
      </c>
      <c r="D17" s="3">
        <v>42716</v>
      </c>
      <c r="E17" s="2" t="s">
        <v>87</v>
      </c>
      <c r="F17" s="2" t="s">
        <v>88</v>
      </c>
      <c r="G17" s="10">
        <v>90579.78</v>
      </c>
      <c r="H17" t="str">
        <v>Marketing</v>
      </c>
      <c r="I17" t="str">
        <v>Rebecca Henderson</v>
      </c>
      <c r="J17" t="str">
        <v>nbrooks@estrada.info</v>
      </c>
      <c r="K17" t="str">
        <f t="shared" si="1"/>
        <v>12-12-2016</v>
      </c>
      <c r="L17" s="19">
        <f t="shared" si="0"/>
        <v>90579.78</v>
      </c>
      <c r="M17" s="10" t="str">
        <v>Marketing</v>
      </c>
      <c r="N17" s="2" t="str">
        <f t="shared" si="2"/>
        <v>Has Email</v>
      </c>
      <c r="O17" t="str">
        <f t="shared" si="3"/>
        <v>Rebecca Henderson</v>
      </c>
    </row>
    <row r="18" spans="1:15" x14ac:dyDescent="0.4">
      <c r="A18" s="2" t="s">
        <v>90</v>
      </c>
      <c r="B18" s="2" t="s">
        <v>91</v>
      </c>
      <c r="C18" s="2" t="s">
        <v>48</v>
      </c>
      <c r="D18" s="3">
        <v>45681</v>
      </c>
      <c r="E18" s="2" t="s">
        <v>92</v>
      </c>
      <c r="F18" s="2" t="s">
        <v>93</v>
      </c>
      <c r="G18" s="10">
        <v>119940.49</v>
      </c>
      <c r="H18" t="str">
        <v>Marketing</v>
      </c>
      <c r="I18" t="str">
        <v>Tricia Valencia</v>
      </c>
      <c r="J18" t="str">
        <v>shawheidi@yahoo.com</v>
      </c>
      <c r="K18" t="str">
        <f t="shared" si="1"/>
        <v>24-01-2025</v>
      </c>
      <c r="L18" s="19">
        <f t="shared" si="0"/>
        <v>119940.49</v>
      </c>
      <c r="M18" s="10" t="str">
        <v>Marketing</v>
      </c>
      <c r="N18" s="2" t="str">
        <f t="shared" si="2"/>
        <v>Has Email</v>
      </c>
      <c r="O18" t="str">
        <f t="shared" si="3"/>
        <v>Tricia Valencia</v>
      </c>
    </row>
    <row r="19" spans="1:15" x14ac:dyDescent="0.4">
      <c r="A19" s="2" t="s">
        <v>94</v>
      </c>
      <c r="B19" s="2" t="s">
        <v>95</v>
      </c>
      <c r="C19" s="2" t="s">
        <v>41</v>
      </c>
      <c r="D19" s="3">
        <v>44117</v>
      </c>
      <c r="E19" s="2" t="s">
        <v>96</v>
      </c>
      <c r="F19" s="2" t="s">
        <v>97</v>
      </c>
      <c r="G19" s="10">
        <v>35132.06</v>
      </c>
      <c r="H19" t="str">
        <v>Sales</v>
      </c>
      <c r="I19" t="str">
        <v>Nathan Maldonado</v>
      </c>
      <c r="J19" t="str">
        <v>hullalice@lee.com</v>
      </c>
      <c r="K19" t="str">
        <f t="shared" si="1"/>
        <v>13-10-2020</v>
      </c>
      <c r="L19" s="19">
        <f t="shared" si="0"/>
        <v>35132.06</v>
      </c>
      <c r="M19" s="10" t="str">
        <v>Sales</v>
      </c>
      <c r="N19" s="2" t="str">
        <f t="shared" si="2"/>
        <v>Has Email</v>
      </c>
      <c r="O19" t="str">
        <f t="shared" si="3"/>
        <v>Nathan Maldonado</v>
      </c>
    </row>
    <row r="20" spans="1:15" x14ac:dyDescent="0.4">
      <c r="A20" s="2" t="s">
        <v>98</v>
      </c>
      <c r="B20" s="2" t="s">
        <v>99</v>
      </c>
      <c r="C20" s="2" t="s">
        <v>24</v>
      </c>
      <c r="D20" s="3">
        <v>44176</v>
      </c>
      <c r="E20" s="2" t="s">
        <v>100</v>
      </c>
      <c r="F20" s="2" t="s">
        <v>101</v>
      </c>
      <c r="G20" s="10">
        <v>79332.66</v>
      </c>
      <c r="H20" t="str">
        <v>It</v>
      </c>
      <c r="I20" t="str">
        <v>Debra Davidson</v>
      </c>
      <c r="J20" t="str">
        <v>laura15@yahoo.com</v>
      </c>
      <c r="K20" t="str">
        <f t="shared" si="1"/>
        <v>11-12-2020</v>
      </c>
      <c r="L20" s="19">
        <f t="shared" si="0"/>
        <v>79332.66</v>
      </c>
      <c r="M20" s="10" t="str">
        <v>IT</v>
      </c>
      <c r="N20" s="2" t="str">
        <f t="shared" si="2"/>
        <v>Has Email</v>
      </c>
      <c r="O20" t="str">
        <f t="shared" si="3"/>
        <v>Debra Davidson</v>
      </c>
    </row>
    <row r="21" spans="1:15" x14ac:dyDescent="0.4">
      <c r="A21" s="2" t="s">
        <v>103</v>
      </c>
      <c r="B21" s="2" t="s">
        <v>104</v>
      </c>
      <c r="C21" s="2" t="s">
        <v>29</v>
      </c>
      <c r="D21" s="3">
        <v>43394</v>
      </c>
      <c r="E21" s="2" t="s">
        <v>105</v>
      </c>
      <c r="F21" s="2" t="s">
        <v>106</v>
      </c>
      <c r="G21" s="10">
        <v>27084.26</v>
      </c>
      <c r="H21" t="str">
        <v>Finance</v>
      </c>
      <c r="I21" t="str">
        <v>Sherri Baker</v>
      </c>
      <c r="J21" t="str">
        <v>veronicaperez@hotmail.com</v>
      </c>
      <c r="K21" t="str">
        <f t="shared" si="1"/>
        <v>21-10-2018</v>
      </c>
      <c r="L21" s="19">
        <f t="shared" si="0"/>
        <v>27084.26</v>
      </c>
      <c r="M21" s="10" t="str">
        <v>Finance</v>
      </c>
      <c r="N21" s="2" t="str">
        <f t="shared" si="2"/>
        <v>Has Email</v>
      </c>
      <c r="O21" t="str">
        <f t="shared" si="3"/>
        <v>Sherri Baker</v>
      </c>
    </row>
    <row r="22" spans="1:15" x14ac:dyDescent="0.4">
      <c r="A22" s="2" t="s">
        <v>108</v>
      </c>
      <c r="B22" s="2" t="s">
        <v>109</v>
      </c>
      <c r="C22" s="2" t="s">
        <v>48</v>
      </c>
      <c r="D22" s="3">
        <v>45474</v>
      </c>
      <c r="E22" s="2" t="s">
        <v>110</v>
      </c>
      <c r="F22" s="2" t="s">
        <v>111</v>
      </c>
      <c r="G22" s="10">
        <v>111508.61</v>
      </c>
      <c r="H22" t="str">
        <v>Marketing</v>
      </c>
      <c r="I22" t="str">
        <v>Elizabeth Fowler</v>
      </c>
      <c r="J22" t="str">
        <v>vnewman@hotmail.com</v>
      </c>
      <c r="K22" t="str">
        <f t="shared" si="1"/>
        <v>01-07-2024</v>
      </c>
      <c r="L22" s="19">
        <f t="shared" si="0"/>
        <v>111508.61</v>
      </c>
      <c r="M22" s="10" t="str">
        <v>Marketing</v>
      </c>
      <c r="N22" s="2" t="str">
        <f t="shared" si="2"/>
        <v>Has Email</v>
      </c>
      <c r="O22" t="str">
        <f t="shared" si="3"/>
        <v>Elizabeth Fowler</v>
      </c>
    </row>
    <row r="23" spans="1:15" x14ac:dyDescent="0.4">
      <c r="A23" s="2" t="s">
        <v>112</v>
      </c>
      <c r="B23" s="2" t="s">
        <v>113</v>
      </c>
      <c r="C23" s="2" t="s">
        <v>24</v>
      </c>
      <c r="D23" s="3">
        <v>43706</v>
      </c>
      <c r="E23" s="2" t="s">
        <v>114</v>
      </c>
      <c r="F23" s="2" t="s">
        <v>115</v>
      </c>
      <c r="G23" s="10">
        <v>104119.7</v>
      </c>
      <c r="H23" t="str">
        <v>It</v>
      </c>
      <c r="I23" t="str">
        <v>Brittany Farmer</v>
      </c>
      <c r="J23" t="str">
        <v>hallrachel@clay.com</v>
      </c>
      <c r="K23" t="str">
        <f t="shared" si="1"/>
        <v>29-08-2019</v>
      </c>
      <c r="L23" s="19">
        <f t="shared" si="0"/>
        <v>104119.7</v>
      </c>
      <c r="M23" s="10" t="str">
        <v>IT</v>
      </c>
      <c r="N23" s="2" t="str">
        <f t="shared" si="2"/>
        <v>Has Email</v>
      </c>
      <c r="O23" t="str">
        <f t="shared" si="3"/>
        <v>Brittany Farmer</v>
      </c>
    </row>
    <row r="24" spans="1:15" x14ac:dyDescent="0.4">
      <c r="A24" s="2" t="s">
        <v>117</v>
      </c>
      <c r="B24" s="2" t="s">
        <v>118</v>
      </c>
      <c r="C24" s="2" t="s">
        <v>29</v>
      </c>
      <c r="D24" s="3">
        <v>43561</v>
      </c>
      <c r="E24" s="2" t="s">
        <v>119</v>
      </c>
      <c r="F24" s="2" t="s">
        <v>120</v>
      </c>
      <c r="G24" s="10">
        <v>82671.17</v>
      </c>
      <c r="H24" t="str">
        <v>Finance</v>
      </c>
      <c r="I24" t="str">
        <v>Fred Smith</v>
      </c>
      <c r="J24" t="str">
        <v>karenmarquez@hickman-evans.org</v>
      </c>
      <c r="K24" t="str">
        <f t="shared" si="1"/>
        <v>06-04-2019</v>
      </c>
      <c r="L24" s="19">
        <f t="shared" si="0"/>
        <v>82671.17</v>
      </c>
      <c r="M24" s="10" t="str">
        <v>Finance</v>
      </c>
      <c r="N24" s="2" t="str">
        <f t="shared" si="2"/>
        <v>Has Email</v>
      </c>
      <c r="O24" t="str">
        <f t="shared" si="3"/>
        <v>Fred Smith</v>
      </c>
    </row>
    <row r="25" spans="1:15" x14ac:dyDescent="0.4">
      <c r="A25" s="2" t="s">
        <v>122</v>
      </c>
      <c r="B25" s="2" t="s">
        <v>123</v>
      </c>
      <c r="C25" s="2" t="s">
        <v>13</v>
      </c>
      <c r="D25" s="3">
        <v>42476</v>
      </c>
      <c r="E25" s="2" t="s">
        <v>124</v>
      </c>
      <c r="F25" s="2" t="s">
        <v>125</v>
      </c>
      <c r="G25" s="10">
        <v>54348.62</v>
      </c>
      <c r="H25" t="str">
        <v>Hr</v>
      </c>
      <c r="I25" t="str">
        <v>Philip Cannon</v>
      </c>
      <c r="J25" t="str">
        <v>unovak@gmail.com</v>
      </c>
      <c r="K25" t="str">
        <f t="shared" si="1"/>
        <v>16-04-2016</v>
      </c>
      <c r="L25" s="19">
        <f t="shared" si="0"/>
        <v>54348.62</v>
      </c>
      <c r="M25" s="10" t="str">
        <v>HR</v>
      </c>
      <c r="N25" s="2" t="str">
        <f t="shared" si="2"/>
        <v>Has Email</v>
      </c>
      <c r="O25" t="str">
        <f t="shared" si="3"/>
        <v>Philip Cannon</v>
      </c>
    </row>
    <row r="26" spans="1:15" x14ac:dyDescent="0.4">
      <c r="A26" s="2" t="s">
        <v>126</v>
      </c>
      <c r="B26" s="2" t="s">
        <v>127</v>
      </c>
      <c r="C26" s="2" t="s">
        <v>48</v>
      </c>
      <c r="D26" s="3">
        <v>44555</v>
      </c>
      <c r="E26" s="2" t="s">
        <v>128</v>
      </c>
      <c r="F26" s="2" t="s">
        <v>129</v>
      </c>
      <c r="G26" s="10">
        <v>28169.63</v>
      </c>
      <c r="H26" t="str">
        <v>Marketing</v>
      </c>
      <c r="I26" t="str">
        <v>John Pierce</v>
      </c>
      <c r="J26" t="str">
        <v>whenry@hotmail.com</v>
      </c>
      <c r="K26" t="str">
        <f t="shared" si="1"/>
        <v>25-12-2021</v>
      </c>
      <c r="L26" s="19">
        <f t="shared" si="0"/>
        <v>28169.63</v>
      </c>
      <c r="M26" s="10" t="str">
        <v>Marketing</v>
      </c>
      <c r="N26" s="2" t="str">
        <f t="shared" si="2"/>
        <v>Has Email</v>
      </c>
      <c r="O26" t="str">
        <f t="shared" si="3"/>
        <v>John Pierce</v>
      </c>
    </row>
    <row r="27" spans="1:15" x14ac:dyDescent="0.4">
      <c r="A27" s="2" t="s">
        <v>131</v>
      </c>
      <c r="B27" s="2" t="s">
        <v>132</v>
      </c>
      <c r="C27" s="2" t="s">
        <v>24</v>
      </c>
      <c r="D27" s="3">
        <v>45869</v>
      </c>
      <c r="E27" s="2" t="s">
        <v>133</v>
      </c>
      <c r="F27" s="2" t="s">
        <v>134</v>
      </c>
      <c r="G27" s="10">
        <v>111414.64</v>
      </c>
      <c r="H27" t="str">
        <v>It</v>
      </c>
      <c r="I27" t="str">
        <v>Joshua Blair</v>
      </c>
      <c r="J27" t="str">
        <v>bartonkenneth@gmail.com</v>
      </c>
      <c r="K27" t="str">
        <f t="shared" si="1"/>
        <v>31-07-2025</v>
      </c>
      <c r="L27" s="19">
        <f t="shared" si="0"/>
        <v>111414.64</v>
      </c>
      <c r="M27" s="10" t="str">
        <v>IT</v>
      </c>
      <c r="N27" s="2" t="str">
        <f t="shared" si="2"/>
        <v>Has Email</v>
      </c>
      <c r="O27" t="str">
        <f t="shared" si="3"/>
        <v>Joshua Blair</v>
      </c>
    </row>
    <row r="28" spans="1:15" x14ac:dyDescent="0.4">
      <c r="A28" s="2" t="s">
        <v>135</v>
      </c>
      <c r="B28" s="2" t="s">
        <v>136</v>
      </c>
      <c r="C28" s="2" t="s">
        <v>41</v>
      </c>
      <c r="D28" s="3">
        <v>45217</v>
      </c>
      <c r="E28" s="2" t="s">
        <v>137</v>
      </c>
      <c r="F28" s="2" t="s">
        <v>138</v>
      </c>
      <c r="G28" s="10">
        <v>44075.51</v>
      </c>
      <c r="H28" t="str">
        <v>Sales</v>
      </c>
      <c r="I28" t="str">
        <v>JESSICA HOLMES</v>
      </c>
      <c r="J28" t="str">
        <v>sean41@miller.info</v>
      </c>
      <c r="K28" t="str">
        <f t="shared" si="1"/>
        <v>18-10-2023</v>
      </c>
      <c r="L28" s="19">
        <f t="shared" si="0"/>
        <v>44075.51</v>
      </c>
      <c r="M28" s="10" t="str">
        <v>Sales</v>
      </c>
      <c r="N28" s="2" t="str">
        <f t="shared" si="2"/>
        <v>Has Email</v>
      </c>
      <c r="O28" t="str">
        <f t="shared" si="3"/>
        <v>JESSICA HOLMES</v>
      </c>
    </row>
    <row r="29" spans="1:15" x14ac:dyDescent="0.4">
      <c r="A29" s="2" t="s">
        <v>139</v>
      </c>
      <c r="B29" s="2" t="s">
        <v>140</v>
      </c>
      <c r="C29" s="2" t="s">
        <v>24</v>
      </c>
      <c r="D29" s="3">
        <v>45740</v>
      </c>
      <c r="E29" s="2" t="s">
        <v>141</v>
      </c>
      <c r="F29" s="2" t="s">
        <v>142</v>
      </c>
      <c r="G29" s="10">
        <v>75430.98</v>
      </c>
      <c r="H29" t="str">
        <v>It</v>
      </c>
      <c r="I29" t="str">
        <v>Danny Morgan</v>
      </c>
      <c r="J29" t="str">
        <v>johnsonmichael@gmail.com</v>
      </c>
      <c r="K29" t="str">
        <f t="shared" si="1"/>
        <v>24-03-2025</v>
      </c>
      <c r="L29" s="19">
        <f t="shared" si="0"/>
        <v>75430.98</v>
      </c>
      <c r="M29" s="10" t="str">
        <v>IT</v>
      </c>
      <c r="N29" s="2" t="str">
        <f t="shared" si="2"/>
        <v>Has Email</v>
      </c>
      <c r="O29" t="str">
        <f t="shared" si="3"/>
        <v>Danny Morgan</v>
      </c>
    </row>
    <row r="30" spans="1:15" x14ac:dyDescent="0.4">
      <c r="A30" s="2" t="s">
        <v>143</v>
      </c>
      <c r="B30" s="2" t="s">
        <v>144</v>
      </c>
      <c r="C30" s="2" t="s">
        <v>13</v>
      </c>
      <c r="D30" s="3">
        <v>43119</v>
      </c>
      <c r="E30" s="2" t="s">
        <v>145</v>
      </c>
      <c r="F30" s="2" t="s">
        <v>146</v>
      </c>
      <c r="G30" s="10">
        <v>103894.9</v>
      </c>
      <c r="H30" t="str">
        <v>Hr</v>
      </c>
      <c r="I30" t="str">
        <v>Crystal Robinson</v>
      </c>
      <c r="J30" t="str">
        <v>asmith@yahoo.com</v>
      </c>
      <c r="K30" t="str">
        <f t="shared" si="1"/>
        <v>19-01-2018</v>
      </c>
      <c r="L30" s="19">
        <f t="shared" si="0"/>
        <v>103894.9</v>
      </c>
      <c r="M30" s="10" t="str">
        <v>HR</v>
      </c>
      <c r="N30" s="2" t="str">
        <f t="shared" si="2"/>
        <v>Has Email</v>
      </c>
      <c r="O30" t="str">
        <f t="shared" si="3"/>
        <v>Crystal Robinson</v>
      </c>
    </row>
    <row r="31" spans="1:15" x14ac:dyDescent="0.4">
      <c r="A31" s="2" t="s">
        <v>147</v>
      </c>
      <c r="B31" s="2" t="s">
        <v>148</v>
      </c>
      <c r="C31" s="2" t="s">
        <v>9</v>
      </c>
      <c r="D31" s="3">
        <v>42848</v>
      </c>
      <c r="E31" s="2" t="s">
        <v>149</v>
      </c>
      <c r="F31" s="2" t="s">
        <v>150</v>
      </c>
      <c r="G31" s="10">
        <v>111834.65</v>
      </c>
      <c r="H31" t="str">
        <v>Operations</v>
      </c>
      <c r="I31" t="str">
        <v>Mark Perez</v>
      </c>
      <c r="J31" t="str">
        <v>ashleyjackson@jackson-adams.com</v>
      </c>
      <c r="K31" t="str">
        <f t="shared" si="1"/>
        <v>23-04-2017</v>
      </c>
      <c r="L31" s="19">
        <f t="shared" si="0"/>
        <v>111834.65</v>
      </c>
      <c r="M31" s="10" t="str">
        <v>Operations</v>
      </c>
      <c r="N31" s="2" t="str">
        <f t="shared" si="2"/>
        <v>Has Email</v>
      </c>
      <c r="O31" t="str">
        <f t="shared" si="3"/>
        <v>Mark Perez</v>
      </c>
    </row>
    <row r="32" spans="1:15" x14ac:dyDescent="0.4">
      <c r="A32" s="2" t="s">
        <v>151</v>
      </c>
      <c r="B32" s="2" t="s">
        <v>152</v>
      </c>
      <c r="C32" s="2" t="s">
        <v>48</v>
      </c>
      <c r="D32" s="3">
        <v>42721</v>
      </c>
      <c r="E32" s="2" t="s">
        <v>153</v>
      </c>
      <c r="F32" s="2" t="s">
        <v>154</v>
      </c>
      <c r="G32" s="10">
        <v>116901.49</v>
      </c>
      <c r="H32" t="str">
        <v>Marketing</v>
      </c>
      <c r="I32" t="str">
        <v>Shannon Jones</v>
      </c>
      <c r="J32" t="str">
        <v>bryanhamilton@yahoo.com</v>
      </c>
      <c r="K32" t="str">
        <f t="shared" si="1"/>
        <v>17-12-2016</v>
      </c>
      <c r="L32" s="19">
        <f t="shared" si="0"/>
        <v>116901.49</v>
      </c>
      <c r="M32" s="10" t="str">
        <v>Marketing</v>
      </c>
      <c r="N32" s="2" t="str">
        <f t="shared" si="2"/>
        <v>Has Email</v>
      </c>
      <c r="O32" t="str">
        <f t="shared" si="3"/>
        <v>Shannon Jones</v>
      </c>
    </row>
    <row r="33" spans="1:15" x14ac:dyDescent="0.4">
      <c r="A33" s="2" t="s">
        <v>155</v>
      </c>
      <c r="B33" s="2" t="s">
        <v>156</v>
      </c>
      <c r="C33" s="2" t="s">
        <v>41</v>
      </c>
      <c r="D33" s="3">
        <v>44234</v>
      </c>
      <c r="E33" s="2" t="s">
        <v>157</v>
      </c>
      <c r="F33" s="2" t="s">
        <v>158</v>
      </c>
      <c r="G33" s="10">
        <v>95923.14</v>
      </c>
      <c r="H33" t="str">
        <v>Sales</v>
      </c>
      <c r="I33" t="str">
        <v>Michael Lewis</v>
      </c>
      <c r="J33" t="str">
        <v>xpatton@yahoo.com</v>
      </c>
      <c r="K33" t="str">
        <f t="shared" si="1"/>
        <v>07-02-2021</v>
      </c>
      <c r="L33" s="19">
        <f t="shared" si="0"/>
        <v>95923.14</v>
      </c>
      <c r="M33" s="10" t="str">
        <v>Sales</v>
      </c>
      <c r="N33" s="2" t="str">
        <f t="shared" si="2"/>
        <v>Has Email</v>
      </c>
      <c r="O33" t="str">
        <f t="shared" si="3"/>
        <v>Michael Lewis</v>
      </c>
    </row>
    <row r="34" spans="1:15" x14ac:dyDescent="0.4">
      <c r="A34" s="2" t="s">
        <v>159</v>
      </c>
      <c r="B34" s="2" t="s">
        <v>160</v>
      </c>
      <c r="C34" s="2" t="s">
        <v>13</v>
      </c>
      <c r="D34" s="3">
        <v>44787</v>
      </c>
      <c r="E34" s="2" t="s">
        <v>161</v>
      </c>
      <c r="F34" s="2" t="s">
        <v>162</v>
      </c>
      <c r="G34" s="10">
        <v>101402.09</v>
      </c>
      <c r="H34" t="str">
        <v>Hr</v>
      </c>
      <c r="I34" t="str">
        <v>Timothy Duncan</v>
      </c>
      <c r="J34" t="str">
        <v>mwheeler@rodriguez-torres.biz</v>
      </c>
      <c r="K34" t="str">
        <f t="shared" si="1"/>
        <v>14-08-2022</v>
      </c>
      <c r="L34" s="19">
        <f t="shared" si="0"/>
        <v>101402.09</v>
      </c>
      <c r="M34" s="10" t="str">
        <v>HR</v>
      </c>
      <c r="N34" s="2" t="str">
        <f t="shared" si="2"/>
        <v>Has Email</v>
      </c>
      <c r="O34" t="str">
        <f t="shared" si="3"/>
        <v>Timothy Duncan</v>
      </c>
    </row>
    <row r="35" spans="1:15" x14ac:dyDescent="0.4">
      <c r="A35" s="2" t="s">
        <v>165</v>
      </c>
      <c r="B35" s="2" t="s">
        <v>166</v>
      </c>
      <c r="C35" s="2" t="s">
        <v>41</v>
      </c>
      <c r="D35" s="3">
        <v>44865</v>
      </c>
      <c r="E35" s="2" t="s">
        <v>167</v>
      </c>
      <c r="F35" s="2" t="s">
        <v>168</v>
      </c>
      <c r="G35" s="10">
        <v>106713.36</v>
      </c>
      <c r="H35" t="str">
        <v>Sales</v>
      </c>
      <c r="I35" t="str">
        <v>John Daniel</v>
      </c>
      <c r="J35" t="str">
        <v>malik37@thompson-sanders.com</v>
      </c>
      <c r="K35" t="str">
        <f t="shared" si="1"/>
        <v>31-10-2022</v>
      </c>
      <c r="L35" s="19">
        <f t="shared" si="0"/>
        <v>106713.36</v>
      </c>
      <c r="M35" s="10" t="str">
        <v>Sales</v>
      </c>
      <c r="N35" s="2" t="str">
        <f t="shared" si="2"/>
        <v>Has Email</v>
      </c>
      <c r="O35" t="str">
        <f t="shared" si="3"/>
        <v>John Daniel</v>
      </c>
    </row>
    <row r="36" spans="1:15" x14ac:dyDescent="0.4">
      <c r="A36" s="2" t="s">
        <v>169</v>
      </c>
      <c r="B36" s="2" t="s">
        <v>170</v>
      </c>
      <c r="C36" s="2" t="s">
        <v>24</v>
      </c>
      <c r="D36" s="3">
        <v>44857</v>
      </c>
      <c r="E36" s="2" t="s">
        <v>171</v>
      </c>
      <c r="F36" s="2" t="s">
        <v>172</v>
      </c>
      <c r="G36" s="10">
        <v>116890.63</v>
      </c>
      <c r="H36" t="str">
        <v>It</v>
      </c>
      <c r="I36" t="str">
        <v>Victoria Garcia</v>
      </c>
      <c r="J36" t="str">
        <v>yfaulkner@gmail.com</v>
      </c>
      <c r="K36" t="str">
        <f t="shared" si="1"/>
        <v>23-10-2022</v>
      </c>
      <c r="L36" s="19">
        <f t="shared" si="0"/>
        <v>116890.63</v>
      </c>
      <c r="M36" s="10" t="str">
        <v>IT</v>
      </c>
      <c r="N36" s="2" t="str">
        <f t="shared" si="2"/>
        <v>Has Email</v>
      </c>
      <c r="O36" t="str">
        <f t="shared" si="3"/>
        <v>Victoria Garcia</v>
      </c>
    </row>
    <row r="37" spans="1:15" x14ac:dyDescent="0.4">
      <c r="A37" s="2" t="s">
        <v>175</v>
      </c>
      <c r="B37" s="2" t="s">
        <v>176</v>
      </c>
      <c r="C37" s="2" t="s">
        <v>24</v>
      </c>
      <c r="D37" s="3">
        <v>43091</v>
      </c>
      <c r="E37" s="2" t="s">
        <v>177</v>
      </c>
      <c r="F37" s="2" t="s">
        <v>178</v>
      </c>
      <c r="G37" s="10">
        <v>68204.67</v>
      </c>
      <c r="H37" t="str">
        <v>It</v>
      </c>
      <c r="I37" t="str">
        <v>Donald Wright</v>
      </c>
      <c r="J37" t="str">
        <v>frederickjames@hotmail.com</v>
      </c>
      <c r="K37" t="str">
        <f t="shared" si="1"/>
        <v>22-12-2017</v>
      </c>
      <c r="L37" s="19">
        <f t="shared" si="0"/>
        <v>68204.67</v>
      </c>
      <c r="M37" s="10" t="str">
        <v>IT</v>
      </c>
      <c r="N37" s="2" t="str">
        <f t="shared" si="2"/>
        <v>Has Email</v>
      </c>
      <c r="O37" t="str">
        <f t="shared" si="3"/>
        <v>Donald Wright</v>
      </c>
    </row>
    <row r="38" spans="1:15" x14ac:dyDescent="0.4">
      <c r="A38" s="2" t="s">
        <v>179</v>
      </c>
      <c r="B38" s="2" t="s">
        <v>180</v>
      </c>
      <c r="C38" s="2" t="s">
        <v>41</v>
      </c>
      <c r="D38" s="3">
        <v>44282</v>
      </c>
      <c r="E38" s="2" t="s">
        <v>181</v>
      </c>
      <c r="F38" s="2" t="s">
        <v>182</v>
      </c>
      <c r="G38" s="10">
        <v>80533.210000000006</v>
      </c>
      <c r="H38" t="str">
        <v>Sales</v>
      </c>
      <c r="I38" t="str">
        <v>Jessica Callahan</v>
      </c>
      <c r="J38" t="str">
        <v>bentonsteven@clark.com</v>
      </c>
      <c r="K38" t="str">
        <f t="shared" si="1"/>
        <v>27-03-2021</v>
      </c>
      <c r="L38" s="19">
        <f t="shared" si="0"/>
        <v>80533.210000000006</v>
      </c>
      <c r="M38" s="10" t="str">
        <v>Sales</v>
      </c>
      <c r="N38" s="2" t="str">
        <f t="shared" si="2"/>
        <v>Has Email</v>
      </c>
      <c r="O38" t="str">
        <f t="shared" si="3"/>
        <v>Jessica Callahan</v>
      </c>
    </row>
    <row r="39" spans="1:15" x14ac:dyDescent="0.4">
      <c r="A39" s="2" t="s">
        <v>184</v>
      </c>
      <c r="B39" s="2" t="s">
        <v>185</v>
      </c>
      <c r="C39" s="2" t="s">
        <v>9</v>
      </c>
      <c r="D39" s="3">
        <v>45109</v>
      </c>
      <c r="E39" s="2" t="s">
        <v>186</v>
      </c>
      <c r="F39" s="2" t="s">
        <v>187</v>
      </c>
      <c r="G39" s="10">
        <v>69790.3</v>
      </c>
      <c r="H39" t="str">
        <v>Operations</v>
      </c>
      <c r="I39" t="str">
        <v>Tracy House</v>
      </c>
      <c r="J39" t="str">
        <v>jennifermccormick@gmail.com</v>
      </c>
      <c r="K39" t="str">
        <f t="shared" si="1"/>
        <v>02-07-2023</v>
      </c>
      <c r="L39" s="19">
        <f t="shared" si="0"/>
        <v>69790.3</v>
      </c>
      <c r="M39" s="10" t="str">
        <v>Operations</v>
      </c>
      <c r="N39" s="2" t="str">
        <f t="shared" si="2"/>
        <v>Has Email</v>
      </c>
      <c r="O39" t="str">
        <f t="shared" si="3"/>
        <v>Tracy House</v>
      </c>
    </row>
    <row r="40" spans="1:15" x14ac:dyDescent="0.4">
      <c r="A40" s="2" t="s">
        <v>189</v>
      </c>
      <c r="B40" s="2" t="s">
        <v>190</v>
      </c>
      <c r="C40" s="2" t="s">
        <v>13</v>
      </c>
      <c r="D40" s="3">
        <v>45527</v>
      </c>
      <c r="E40" s="2" t="s">
        <v>191</v>
      </c>
      <c r="F40" s="2" t="s">
        <v>192</v>
      </c>
      <c r="G40" s="10">
        <v>86526.98</v>
      </c>
      <c r="H40" t="str">
        <v>Hr</v>
      </c>
      <c r="I40" t="str">
        <v>James Brown</v>
      </c>
      <c r="J40" t="str">
        <v>gibbsmichael@hotmail.com</v>
      </c>
      <c r="K40" t="str">
        <f t="shared" si="1"/>
        <v>23-08-2024</v>
      </c>
      <c r="L40" s="19">
        <f t="shared" si="0"/>
        <v>86526.98</v>
      </c>
      <c r="M40" s="10" t="str">
        <v>HR</v>
      </c>
      <c r="N40" s="2" t="str">
        <f t="shared" si="2"/>
        <v>Has Email</v>
      </c>
      <c r="O40" t="str">
        <f t="shared" si="3"/>
        <v>James Brown</v>
      </c>
    </row>
    <row r="41" spans="1:15" x14ac:dyDescent="0.4">
      <c r="A41" s="2" t="s">
        <v>193</v>
      </c>
      <c r="B41" s="2" t="s">
        <v>194</v>
      </c>
      <c r="C41" s="2" t="s">
        <v>9</v>
      </c>
      <c r="D41" s="3">
        <v>44453</v>
      </c>
      <c r="E41" s="2" t="s">
        <v>195</v>
      </c>
      <c r="F41" s="2" t="s">
        <v>196</v>
      </c>
      <c r="G41" s="10">
        <v>111391.83</v>
      </c>
      <c r="H41" t="str">
        <v>Operations</v>
      </c>
      <c r="I41" t="str">
        <v>William Baker</v>
      </c>
      <c r="J41" t="str">
        <v>mackdiane@jackson-salazar.org</v>
      </c>
      <c r="K41" t="str">
        <f t="shared" si="1"/>
        <v>14-09-2021</v>
      </c>
      <c r="L41" s="19">
        <f t="shared" si="0"/>
        <v>111391.83</v>
      </c>
      <c r="M41" s="10" t="str">
        <v>Operations</v>
      </c>
      <c r="N41" s="2" t="str">
        <f t="shared" si="2"/>
        <v>Has Email</v>
      </c>
      <c r="O41" t="str">
        <f t="shared" si="3"/>
        <v>William Baker</v>
      </c>
    </row>
    <row r="42" spans="1:15" x14ac:dyDescent="0.4">
      <c r="A42" s="2" t="s">
        <v>198</v>
      </c>
      <c r="B42" s="2" t="s">
        <v>199</v>
      </c>
      <c r="C42" s="2" t="s">
        <v>13</v>
      </c>
      <c r="D42" s="3">
        <v>45965</v>
      </c>
      <c r="E42" s="2" t="s">
        <v>200</v>
      </c>
      <c r="F42" s="2" t="s">
        <v>201</v>
      </c>
      <c r="G42" s="10">
        <v>53914.64</v>
      </c>
      <c r="H42" t="str">
        <v>Hr</v>
      </c>
      <c r="I42" t="str">
        <v>Brittney Phillips</v>
      </c>
      <c r="J42" t="str">
        <v>whitney71@perry-nixon.com</v>
      </c>
      <c r="K42" t="str">
        <f t="shared" si="1"/>
        <v>04-11-2025</v>
      </c>
      <c r="L42" s="19">
        <f t="shared" si="0"/>
        <v>53914.64</v>
      </c>
      <c r="M42" s="10" t="str">
        <v>HR</v>
      </c>
      <c r="N42" s="2" t="str">
        <f t="shared" si="2"/>
        <v>Has Email</v>
      </c>
      <c r="O42" t="str">
        <f t="shared" si="3"/>
        <v>Brittney Phillips</v>
      </c>
    </row>
    <row r="43" spans="1:15" x14ac:dyDescent="0.4">
      <c r="A43" s="2" t="s">
        <v>204</v>
      </c>
      <c r="B43" s="2" t="s">
        <v>205</v>
      </c>
      <c r="C43" s="2" t="s">
        <v>48</v>
      </c>
      <c r="D43" s="3">
        <v>45001</v>
      </c>
      <c r="E43" s="2" t="s">
        <v>206</v>
      </c>
      <c r="F43" s="2" t="s">
        <v>207</v>
      </c>
      <c r="G43" s="10">
        <v>61921.35</v>
      </c>
      <c r="H43" t="str">
        <v>Marketing</v>
      </c>
      <c r="I43" t="str">
        <v>Sarah Moore</v>
      </c>
      <c r="J43" t="str">
        <v>evanslisa@gmail.com</v>
      </c>
      <c r="K43" t="str">
        <f t="shared" si="1"/>
        <v>16-03-2023</v>
      </c>
      <c r="L43" s="19">
        <f t="shared" si="0"/>
        <v>61921.35</v>
      </c>
      <c r="M43" s="10" t="str">
        <v>Marketing</v>
      </c>
      <c r="N43" s="2" t="str">
        <f t="shared" si="2"/>
        <v>Has Email</v>
      </c>
      <c r="O43" t="str">
        <f t="shared" si="3"/>
        <v>Sarah Moore</v>
      </c>
    </row>
    <row r="44" spans="1:15" x14ac:dyDescent="0.4">
      <c r="A44" s="2" t="s">
        <v>208</v>
      </c>
      <c r="B44" s="2" t="s">
        <v>209</v>
      </c>
      <c r="C44" s="2" t="s">
        <v>24</v>
      </c>
      <c r="D44" s="3">
        <v>45437</v>
      </c>
      <c r="E44" s="2" t="s">
        <v>210</v>
      </c>
      <c r="F44" s="2" t="s">
        <v>211</v>
      </c>
      <c r="G44" s="10">
        <v>88696.19</v>
      </c>
      <c r="H44" t="str">
        <v>It</v>
      </c>
      <c r="I44" t="str">
        <v>Angela Lopez</v>
      </c>
      <c r="J44" t="str">
        <v>deborah23@thompson.info</v>
      </c>
      <c r="K44" t="str">
        <f t="shared" si="1"/>
        <v>25-05-2024</v>
      </c>
      <c r="L44" s="19">
        <f t="shared" si="0"/>
        <v>88696.19</v>
      </c>
      <c r="M44" s="10" t="str">
        <v>IT</v>
      </c>
      <c r="N44" s="2" t="str">
        <f t="shared" si="2"/>
        <v>Has Email</v>
      </c>
      <c r="O44" t="str">
        <f t="shared" si="3"/>
        <v>Angela Lopez</v>
      </c>
    </row>
    <row r="45" spans="1:15" x14ac:dyDescent="0.4">
      <c r="A45" s="2" t="s">
        <v>212</v>
      </c>
      <c r="B45" s="2" t="s">
        <v>213</v>
      </c>
      <c r="C45" s="2" t="s">
        <v>24</v>
      </c>
      <c r="D45" s="3">
        <v>45532</v>
      </c>
      <c r="E45" s="2" t="s">
        <v>214</v>
      </c>
      <c r="F45" s="2" t="s">
        <v>215</v>
      </c>
      <c r="G45" s="10">
        <v>104200.84</v>
      </c>
      <c r="H45" t="str">
        <v>It</v>
      </c>
      <c r="I45" t="str">
        <v>Lisa Barnes</v>
      </c>
      <c r="J45" t="str">
        <v>karen19@lloyd.com</v>
      </c>
      <c r="K45" t="str">
        <f t="shared" si="1"/>
        <v>28-08-2024</v>
      </c>
      <c r="L45" s="19">
        <f t="shared" si="0"/>
        <v>104200.84</v>
      </c>
      <c r="M45" s="10" t="str">
        <v>IT</v>
      </c>
      <c r="N45" s="2" t="str">
        <f t="shared" si="2"/>
        <v>Has Email</v>
      </c>
      <c r="O45" t="str">
        <f t="shared" si="3"/>
        <v>Lisa Barnes</v>
      </c>
    </row>
    <row r="46" spans="1:15" x14ac:dyDescent="0.4">
      <c r="A46" s="2" t="s">
        <v>216</v>
      </c>
      <c r="B46" s="2" t="s">
        <v>217</v>
      </c>
      <c r="C46" s="2" t="s">
        <v>29</v>
      </c>
      <c r="D46" s="3">
        <v>43263</v>
      </c>
      <c r="E46" s="2" t="s">
        <v>218</v>
      </c>
      <c r="F46" s="2" t="s">
        <v>219</v>
      </c>
      <c r="G46" s="10">
        <v>114210.04</v>
      </c>
      <c r="H46" t="str">
        <v>Finance</v>
      </c>
      <c r="I46" t="str">
        <v>Kelly Donovan</v>
      </c>
      <c r="J46" t="str">
        <v>james14@hotmail.com</v>
      </c>
      <c r="K46" t="str">
        <f t="shared" si="1"/>
        <v>12-06-2018</v>
      </c>
      <c r="L46" s="19">
        <f t="shared" si="0"/>
        <v>114210.04</v>
      </c>
      <c r="M46" s="10" t="str">
        <v>Finance</v>
      </c>
      <c r="N46" s="2" t="str">
        <f t="shared" si="2"/>
        <v>Has Email</v>
      </c>
      <c r="O46" t="str">
        <f t="shared" si="3"/>
        <v>Kelly Donovan</v>
      </c>
    </row>
    <row r="47" spans="1:15" x14ac:dyDescent="0.4">
      <c r="A47" s="2" t="s">
        <v>220</v>
      </c>
      <c r="B47" s="2" t="s">
        <v>221</v>
      </c>
      <c r="C47" s="2" t="s">
        <v>24</v>
      </c>
      <c r="D47" s="3">
        <v>44202</v>
      </c>
      <c r="E47" s="2" t="s">
        <v>222</v>
      </c>
      <c r="F47" s="2" t="s">
        <v>223</v>
      </c>
      <c r="G47" s="10">
        <v>28108.05</v>
      </c>
      <c r="H47" t="str">
        <v>It</v>
      </c>
      <c r="I47" t="str">
        <v>Mike Allen</v>
      </c>
      <c r="J47" t="str">
        <v>candice96@hotmail.com</v>
      </c>
      <c r="K47" t="str">
        <f t="shared" si="1"/>
        <v>06-01-2021</v>
      </c>
      <c r="L47" s="19">
        <f t="shared" si="0"/>
        <v>28108.05</v>
      </c>
      <c r="M47" s="10" t="str">
        <v>IT</v>
      </c>
      <c r="N47" s="2" t="str">
        <f t="shared" si="2"/>
        <v>Has Email</v>
      </c>
      <c r="O47" t="str">
        <f t="shared" si="3"/>
        <v>Mike Allen</v>
      </c>
    </row>
    <row r="48" spans="1:15" x14ac:dyDescent="0.4">
      <c r="A48" s="2" t="s">
        <v>224</v>
      </c>
      <c r="B48" s="2" t="s">
        <v>225</v>
      </c>
      <c r="C48" s="2" t="s">
        <v>29</v>
      </c>
      <c r="D48" s="3">
        <v>43319</v>
      </c>
      <c r="E48" s="2" t="s">
        <v>226</v>
      </c>
      <c r="F48" s="2" t="s">
        <v>227</v>
      </c>
      <c r="G48" s="10">
        <v>115302.74</v>
      </c>
      <c r="H48" t="str">
        <v>Finance</v>
      </c>
      <c r="I48" t="str">
        <v>Paul Jones</v>
      </c>
      <c r="J48" t="str">
        <v>michael79@cervantes.com</v>
      </c>
      <c r="K48" t="str">
        <f t="shared" si="1"/>
        <v>07-08-2018</v>
      </c>
      <c r="L48" s="19">
        <f t="shared" si="0"/>
        <v>115302.74</v>
      </c>
      <c r="M48" s="10" t="str">
        <v>Finance</v>
      </c>
      <c r="N48" s="2" t="str">
        <f t="shared" si="2"/>
        <v>Has Email</v>
      </c>
      <c r="O48" t="str">
        <f t="shared" si="3"/>
        <v>Paul Jones</v>
      </c>
    </row>
    <row r="49" spans="1:15" x14ac:dyDescent="0.4">
      <c r="A49" s="2" t="s">
        <v>228</v>
      </c>
      <c r="B49" s="2" t="s">
        <v>229</v>
      </c>
      <c r="C49" s="2" t="s">
        <v>9</v>
      </c>
      <c r="D49" s="3">
        <v>44317</v>
      </c>
      <c r="E49" s="2" t="s">
        <v>230</v>
      </c>
      <c r="F49" s="2" t="s">
        <v>231</v>
      </c>
      <c r="G49" s="10">
        <v>34438.69</v>
      </c>
      <c r="H49" t="str">
        <v>Operations</v>
      </c>
      <c r="I49" t="str">
        <v>Zachary Ferrell</v>
      </c>
      <c r="J49" t="str">
        <v>lawrenceallen@white.com</v>
      </c>
      <c r="K49" t="str">
        <f t="shared" si="1"/>
        <v>01-05-2021</v>
      </c>
      <c r="L49" s="19">
        <f t="shared" si="0"/>
        <v>34438.69</v>
      </c>
      <c r="M49" s="10" t="str">
        <v>Operations</v>
      </c>
      <c r="N49" s="2" t="str">
        <f t="shared" si="2"/>
        <v>Has Email</v>
      </c>
      <c r="O49" t="str">
        <f t="shared" si="3"/>
        <v>Zachary Ferrell</v>
      </c>
    </row>
    <row r="50" spans="1:15" x14ac:dyDescent="0.4">
      <c r="A50" s="2" t="s">
        <v>232</v>
      </c>
      <c r="B50" s="2" t="s">
        <v>233</v>
      </c>
      <c r="C50" s="2" t="s">
        <v>24</v>
      </c>
      <c r="D50" s="3">
        <v>43714</v>
      </c>
      <c r="E50" s="2" t="s">
        <v>234</v>
      </c>
      <c r="F50" s="2" t="s">
        <v>235</v>
      </c>
      <c r="G50" s="10">
        <v>76724.259999999995</v>
      </c>
      <c r="H50" t="str">
        <v>It</v>
      </c>
      <c r="I50" t="str">
        <v>Daniel Baker</v>
      </c>
      <c r="J50" t="str">
        <v>kcarlson@yahoo.com</v>
      </c>
      <c r="K50" t="str">
        <f t="shared" si="1"/>
        <v>06-09-2019</v>
      </c>
      <c r="L50" s="19">
        <f t="shared" si="0"/>
        <v>76724.259999999995</v>
      </c>
      <c r="M50" s="10" t="str">
        <v>IT</v>
      </c>
      <c r="N50" s="2" t="str">
        <f t="shared" si="2"/>
        <v>Has Email</v>
      </c>
      <c r="O50" t="str">
        <f t="shared" si="3"/>
        <v>Daniel Baker</v>
      </c>
    </row>
    <row r="51" spans="1:15" x14ac:dyDescent="0.4">
      <c r="A51" s="2" t="s">
        <v>237</v>
      </c>
      <c r="B51" s="2" t="s">
        <v>238</v>
      </c>
      <c r="C51" s="2" t="s">
        <v>9</v>
      </c>
      <c r="D51" s="3">
        <v>44078</v>
      </c>
      <c r="E51" s="2" t="s">
        <v>239</v>
      </c>
      <c r="F51" s="2" t="s">
        <v>240</v>
      </c>
      <c r="G51" s="10">
        <v>115156.02</v>
      </c>
      <c r="H51" t="str">
        <v>Operations</v>
      </c>
      <c r="I51" t="str">
        <v>Lisa Archer</v>
      </c>
      <c r="J51" t="str">
        <v>tracytaylor@wilkinson-harvey.com</v>
      </c>
      <c r="K51" t="str">
        <f t="shared" si="1"/>
        <v>04-09-2020</v>
      </c>
      <c r="L51" s="19">
        <f t="shared" si="0"/>
        <v>115156.02</v>
      </c>
      <c r="M51" s="10" t="str">
        <v>Operations</v>
      </c>
      <c r="N51" s="2" t="str">
        <f t="shared" si="2"/>
        <v>Has Email</v>
      </c>
      <c r="O51" t="str">
        <f t="shared" si="3"/>
        <v>Lisa Archer</v>
      </c>
    </row>
    <row r="52" spans="1:15" x14ac:dyDescent="0.4">
      <c r="A52" s="2" t="s">
        <v>243</v>
      </c>
      <c r="B52" s="2" t="s">
        <v>244</v>
      </c>
      <c r="C52" s="2" t="s">
        <v>9</v>
      </c>
      <c r="D52" s="3">
        <v>43532</v>
      </c>
      <c r="E52" s="2" t="s">
        <v>245</v>
      </c>
      <c r="F52" s="2" t="s">
        <v>246</v>
      </c>
      <c r="G52" s="10">
        <v>29804.959999999999</v>
      </c>
      <c r="H52" t="str">
        <v>Operations</v>
      </c>
      <c r="I52" t="str">
        <v>Brian Rodriguez</v>
      </c>
      <c r="J52" t="str">
        <v>antonio38@jackson-ellis.info</v>
      </c>
      <c r="K52" t="str">
        <f t="shared" si="1"/>
        <v>08-03-2019</v>
      </c>
      <c r="L52" s="19">
        <f t="shared" si="0"/>
        <v>29804.959999999999</v>
      </c>
      <c r="M52" s="10" t="str">
        <v>Operations</v>
      </c>
      <c r="N52" s="2" t="str">
        <f t="shared" si="2"/>
        <v>Has Email</v>
      </c>
      <c r="O52" t="str">
        <f t="shared" si="3"/>
        <v>Brian Rodriguez</v>
      </c>
    </row>
    <row r="53" spans="1:15" x14ac:dyDescent="0.4">
      <c r="A53" s="2" t="s">
        <v>250</v>
      </c>
      <c r="B53" s="2" t="s">
        <v>251</v>
      </c>
      <c r="C53" s="2" t="s">
        <v>24</v>
      </c>
      <c r="D53" s="3">
        <v>43360</v>
      </c>
      <c r="E53" s="2" t="s">
        <v>252</v>
      </c>
      <c r="F53" s="2" t="s">
        <v>253</v>
      </c>
      <c r="G53" s="10">
        <v>118815.09</v>
      </c>
      <c r="H53" t="str">
        <v>It</v>
      </c>
      <c r="I53" t="str">
        <v>Stephen Mckee</v>
      </c>
      <c r="J53" t="str">
        <v>rsellers@martinez.com</v>
      </c>
      <c r="K53" t="str">
        <f t="shared" si="1"/>
        <v>17-09-2018</v>
      </c>
      <c r="L53" s="19">
        <f t="shared" si="0"/>
        <v>118815.09</v>
      </c>
      <c r="M53" s="10" t="str">
        <v>IT</v>
      </c>
      <c r="N53" s="2" t="str">
        <f t="shared" si="2"/>
        <v>Has Email</v>
      </c>
      <c r="O53" t="str">
        <f t="shared" si="3"/>
        <v>Stephen Mckee</v>
      </c>
    </row>
    <row r="54" spans="1:15" x14ac:dyDescent="0.4">
      <c r="A54" s="2" t="s">
        <v>257</v>
      </c>
      <c r="B54" s="2" t="s">
        <v>258</v>
      </c>
      <c r="C54" s="2" t="s">
        <v>13</v>
      </c>
      <c r="D54" s="3">
        <v>42489</v>
      </c>
      <c r="E54" s="2" t="s">
        <v>259</v>
      </c>
      <c r="F54" s="2" t="s">
        <v>260</v>
      </c>
      <c r="G54" s="10">
        <v>37042.06</v>
      </c>
      <c r="H54" t="str">
        <v>Hr</v>
      </c>
      <c r="I54" t="str">
        <v>Sharon Cherry</v>
      </c>
      <c r="J54" t="str">
        <v>ashleewashington@yahoo.com</v>
      </c>
      <c r="K54" t="str">
        <f t="shared" si="1"/>
        <v>29-04-2016</v>
      </c>
      <c r="L54" s="19">
        <f t="shared" si="0"/>
        <v>37042.06</v>
      </c>
      <c r="M54" s="10" t="str">
        <v>HR</v>
      </c>
      <c r="N54" s="2" t="str">
        <f t="shared" si="2"/>
        <v>Has Email</v>
      </c>
      <c r="O54" t="str">
        <f t="shared" si="3"/>
        <v>Sharon Cherry</v>
      </c>
    </row>
    <row r="55" spans="1:15" x14ac:dyDescent="0.4">
      <c r="A55" s="2" t="s">
        <v>261</v>
      </c>
      <c r="B55" s="2" t="s">
        <v>262</v>
      </c>
      <c r="C55" s="2" t="s">
        <v>13</v>
      </c>
      <c r="D55" s="3">
        <v>42595</v>
      </c>
      <c r="E55" s="2" t="s">
        <v>263</v>
      </c>
      <c r="F55" s="2" t="s">
        <v>264</v>
      </c>
      <c r="G55" s="10">
        <v>70243.37</v>
      </c>
      <c r="H55" t="str">
        <v>Hr</v>
      </c>
      <c r="I55" t="str">
        <v>Evelyn Galvan</v>
      </c>
      <c r="J55" t="str">
        <v>bsmith@gmail.com</v>
      </c>
      <c r="K55" t="str">
        <f t="shared" si="1"/>
        <v>13-08-2016</v>
      </c>
      <c r="L55" s="19">
        <f t="shared" si="0"/>
        <v>70243.37</v>
      </c>
      <c r="M55" s="10" t="str">
        <v>HR</v>
      </c>
      <c r="N55" s="2" t="str">
        <f t="shared" si="2"/>
        <v>Has Email</v>
      </c>
      <c r="O55" t="str">
        <f t="shared" si="3"/>
        <v>Evelyn Galvan</v>
      </c>
    </row>
    <row r="56" spans="1:15" x14ac:dyDescent="0.4">
      <c r="A56" s="2" t="s">
        <v>266</v>
      </c>
      <c r="B56" s="2" t="s">
        <v>267</v>
      </c>
      <c r="C56" s="2" t="s">
        <v>13</v>
      </c>
      <c r="D56" s="3">
        <v>45868</v>
      </c>
      <c r="E56" s="2" t="s">
        <v>268</v>
      </c>
      <c r="F56" s="2" t="s">
        <v>269</v>
      </c>
      <c r="G56" s="10">
        <v>94088.08</v>
      </c>
      <c r="H56" t="str">
        <v>Hr</v>
      </c>
      <c r="I56" t="str">
        <v>Julia Torres</v>
      </c>
      <c r="J56" t="str">
        <v>lisa62@jones-reyes.com</v>
      </c>
      <c r="K56" t="str">
        <f t="shared" si="1"/>
        <v>30-07-2025</v>
      </c>
      <c r="L56" s="19">
        <f t="shared" si="0"/>
        <v>94088.08</v>
      </c>
      <c r="M56" s="10" t="str">
        <v>HR</v>
      </c>
      <c r="N56" s="2" t="str">
        <f t="shared" si="2"/>
        <v>Has Email</v>
      </c>
      <c r="O56" t="str">
        <f t="shared" si="3"/>
        <v>Julia Torres</v>
      </c>
    </row>
    <row r="57" spans="1:15" x14ac:dyDescent="0.4">
      <c r="A57" s="2" t="s">
        <v>270</v>
      </c>
      <c r="B57" s="2" t="s">
        <v>271</v>
      </c>
      <c r="C57" s="2" t="s">
        <v>41</v>
      </c>
      <c r="D57" s="3">
        <v>42501</v>
      </c>
      <c r="E57" s="2" t="s">
        <v>272</v>
      </c>
      <c r="F57" s="2" t="s">
        <v>273</v>
      </c>
      <c r="G57" s="10">
        <v>30778.41</v>
      </c>
      <c r="H57" t="str">
        <v>Sales</v>
      </c>
      <c r="I57" t="str">
        <v>Garrett Lin</v>
      </c>
      <c r="J57" t="str">
        <v>morenoalan@martin.com</v>
      </c>
      <c r="K57" t="str">
        <f t="shared" si="1"/>
        <v>11-05-2016</v>
      </c>
      <c r="L57" s="19">
        <f t="shared" si="0"/>
        <v>30778.41</v>
      </c>
      <c r="M57" s="10" t="str">
        <v>Sales</v>
      </c>
      <c r="N57" s="2" t="str">
        <f t="shared" si="2"/>
        <v>Has Email</v>
      </c>
      <c r="O57" t="str">
        <f t="shared" si="3"/>
        <v>Garrett Lin</v>
      </c>
    </row>
    <row r="58" spans="1:15" x14ac:dyDescent="0.4">
      <c r="A58" s="2" t="s">
        <v>274</v>
      </c>
      <c r="B58" s="2" t="s">
        <v>275</v>
      </c>
      <c r="C58" s="2" t="s">
        <v>9</v>
      </c>
      <c r="D58" s="3">
        <v>45407</v>
      </c>
      <c r="E58" s="2" t="s">
        <v>276</v>
      </c>
      <c r="F58" s="2" t="s">
        <v>277</v>
      </c>
      <c r="G58" s="10">
        <v>105493.36</v>
      </c>
      <c r="H58" t="str">
        <v>Operations</v>
      </c>
      <c r="I58" t="str">
        <v>Diana May</v>
      </c>
      <c r="J58" t="str">
        <v>fheath@gmail.com</v>
      </c>
      <c r="K58" t="str">
        <f t="shared" si="1"/>
        <v>25-04-2024</v>
      </c>
      <c r="L58" s="19">
        <f t="shared" si="0"/>
        <v>105493.36</v>
      </c>
      <c r="M58" s="10" t="str">
        <v>Operations</v>
      </c>
      <c r="N58" s="2" t="str">
        <f t="shared" si="2"/>
        <v>Has Email</v>
      </c>
      <c r="O58" t="str">
        <f t="shared" si="3"/>
        <v>Diana May</v>
      </c>
    </row>
    <row r="59" spans="1:15" x14ac:dyDescent="0.4">
      <c r="A59" s="2" t="s">
        <v>278</v>
      </c>
      <c r="B59" s="2" t="s">
        <v>279</v>
      </c>
      <c r="C59" s="2" t="s">
        <v>24</v>
      </c>
      <c r="D59" s="3">
        <v>45703</v>
      </c>
      <c r="E59" s="2" t="s">
        <v>280</v>
      </c>
      <c r="F59" s="2" t="s">
        <v>281</v>
      </c>
      <c r="G59" s="10">
        <v>90179.26</v>
      </c>
      <c r="H59" t="str">
        <v>It</v>
      </c>
      <c r="I59" t="str">
        <v>William Herrera</v>
      </c>
      <c r="J59" t="str">
        <v>lawrencepatrick@edwards-taylor.com</v>
      </c>
      <c r="K59" t="str">
        <f t="shared" si="1"/>
        <v>15-02-2025</v>
      </c>
      <c r="L59" s="19">
        <f t="shared" si="0"/>
        <v>90179.26</v>
      </c>
      <c r="M59" s="10" t="str">
        <v>IT</v>
      </c>
      <c r="N59" s="2" t="str">
        <f t="shared" si="2"/>
        <v>Has Email</v>
      </c>
      <c r="O59" t="str">
        <f t="shared" si="3"/>
        <v>William Herrera</v>
      </c>
    </row>
    <row r="60" spans="1:15" x14ac:dyDescent="0.4">
      <c r="A60" s="2" t="s">
        <v>282</v>
      </c>
      <c r="B60" s="2" t="s">
        <v>283</v>
      </c>
      <c r="C60" s="2" t="s">
        <v>29</v>
      </c>
      <c r="D60" s="3">
        <v>44112</v>
      </c>
      <c r="E60" s="2" t="s">
        <v>284</v>
      </c>
      <c r="F60" s="2" t="s">
        <v>285</v>
      </c>
      <c r="G60" s="10">
        <v>92678.12</v>
      </c>
      <c r="H60" t="str">
        <v>Finance</v>
      </c>
      <c r="I60" t="str">
        <v>Ashley Waller</v>
      </c>
      <c r="J60" t="str">
        <v>angelagreene@mitchell.com</v>
      </c>
      <c r="K60" t="str">
        <f t="shared" si="1"/>
        <v>08-10-2020</v>
      </c>
      <c r="L60" s="19">
        <f t="shared" si="0"/>
        <v>92678.12</v>
      </c>
      <c r="M60" s="10" t="str">
        <v>Finance</v>
      </c>
      <c r="N60" s="2" t="str">
        <f t="shared" si="2"/>
        <v>Has Email</v>
      </c>
      <c r="O60" t="str">
        <f t="shared" si="3"/>
        <v>Ashley Waller</v>
      </c>
    </row>
    <row r="61" spans="1:15" x14ac:dyDescent="0.4">
      <c r="A61" s="2" t="s">
        <v>287</v>
      </c>
      <c r="B61" s="2" t="s">
        <v>288</v>
      </c>
      <c r="C61" s="2" t="s">
        <v>48</v>
      </c>
      <c r="D61" s="3">
        <v>43834</v>
      </c>
      <c r="E61" s="2" t="s">
        <v>289</v>
      </c>
      <c r="F61" s="2" t="s">
        <v>290</v>
      </c>
      <c r="G61" s="10">
        <v>31239.81</v>
      </c>
      <c r="H61" t="str">
        <v>Marketing</v>
      </c>
      <c r="I61" t="str">
        <v>Larry Dixon</v>
      </c>
      <c r="J61" t="str">
        <v>sarah26@fisher.info</v>
      </c>
      <c r="K61" t="str">
        <f t="shared" si="1"/>
        <v>04-01-2020</v>
      </c>
      <c r="L61" s="19">
        <f t="shared" si="0"/>
        <v>31239.81</v>
      </c>
      <c r="M61" s="10" t="str">
        <v>Marketing</v>
      </c>
      <c r="N61" s="2" t="str">
        <f t="shared" si="2"/>
        <v>Has Email</v>
      </c>
      <c r="O61" t="str">
        <f t="shared" si="3"/>
        <v>Larry Dixon</v>
      </c>
    </row>
    <row r="62" spans="1:15" x14ac:dyDescent="0.4">
      <c r="A62" s="2" t="s">
        <v>291</v>
      </c>
      <c r="B62" s="2" t="s">
        <v>292</v>
      </c>
      <c r="C62" s="2" t="s">
        <v>9</v>
      </c>
      <c r="D62" s="3">
        <v>44836</v>
      </c>
      <c r="E62" s="2" t="s">
        <v>293</v>
      </c>
      <c r="F62" s="2" t="s">
        <v>294</v>
      </c>
      <c r="G62" s="10">
        <v>84310.16</v>
      </c>
      <c r="H62" t="str">
        <v>Operations</v>
      </c>
      <c r="I62" t="str">
        <v>Kenneth Scott</v>
      </c>
      <c r="J62" t="str">
        <v>matthewsalexander@williams.biz</v>
      </c>
      <c r="K62" t="str">
        <f t="shared" si="1"/>
        <v>02-10-2022</v>
      </c>
      <c r="L62" s="19">
        <f t="shared" si="0"/>
        <v>84310.16</v>
      </c>
      <c r="M62" s="10" t="str">
        <v>Operations</v>
      </c>
      <c r="N62" s="2" t="str">
        <f t="shared" si="2"/>
        <v>Has Email</v>
      </c>
      <c r="O62" t="str">
        <f t="shared" si="3"/>
        <v>Kenneth Scott</v>
      </c>
    </row>
    <row r="63" spans="1:15" x14ac:dyDescent="0.4">
      <c r="A63" s="2" t="s">
        <v>295</v>
      </c>
      <c r="B63" s="2" t="s">
        <v>296</v>
      </c>
      <c r="C63" s="2" t="s">
        <v>48</v>
      </c>
      <c r="D63" s="3">
        <v>44161</v>
      </c>
      <c r="E63" s="2" t="s">
        <v>297</v>
      </c>
      <c r="F63" s="2" t="s">
        <v>298</v>
      </c>
      <c r="G63" s="10">
        <v>61185.919999999998</v>
      </c>
      <c r="H63" t="str">
        <v>Marketing</v>
      </c>
      <c r="I63" t="str">
        <v>April Frost</v>
      </c>
      <c r="J63" t="str">
        <v>zhenderson@gmail.com</v>
      </c>
      <c r="K63" t="str">
        <f t="shared" si="1"/>
        <v>26-11-2020</v>
      </c>
      <c r="L63" s="19">
        <f t="shared" si="0"/>
        <v>61185.919999999998</v>
      </c>
      <c r="M63" s="10" t="str">
        <v>Marketing</v>
      </c>
      <c r="N63" s="2" t="str">
        <f t="shared" si="2"/>
        <v>Has Email</v>
      </c>
      <c r="O63" t="str">
        <f t="shared" si="3"/>
        <v>April Frost</v>
      </c>
    </row>
    <row r="64" spans="1:15" x14ac:dyDescent="0.4">
      <c r="A64" s="2" t="s">
        <v>299</v>
      </c>
      <c r="B64" s="2" t="s">
        <v>300</v>
      </c>
      <c r="C64" s="2" t="s">
        <v>29</v>
      </c>
      <c r="D64" s="3">
        <v>45131</v>
      </c>
      <c r="E64" s="2" t="s">
        <v>301</v>
      </c>
      <c r="F64" s="2" t="s">
        <v>302</v>
      </c>
      <c r="G64" s="10">
        <v>68102.960000000006</v>
      </c>
      <c r="H64" t="str">
        <v>Finance</v>
      </c>
      <c r="I64" t="str">
        <v>Michelle Harmon</v>
      </c>
      <c r="J64" t="str">
        <v>christopher18@mccann.net</v>
      </c>
      <c r="K64" t="str">
        <f t="shared" si="1"/>
        <v>24-07-2023</v>
      </c>
      <c r="L64" s="19">
        <f t="shared" si="0"/>
        <v>68102.960000000006</v>
      </c>
      <c r="M64" s="10" t="str">
        <v>Finance</v>
      </c>
      <c r="N64" s="2" t="str">
        <f t="shared" si="2"/>
        <v>Has Email</v>
      </c>
      <c r="O64" t="str">
        <f t="shared" si="3"/>
        <v>Michelle Harmon</v>
      </c>
    </row>
    <row r="65" spans="1:15" x14ac:dyDescent="0.4">
      <c r="A65" s="2" t="s">
        <v>308</v>
      </c>
      <c r="B65" s="2" t="s">
        <v>309</v>
      </c>
      <c r="C65" s="2" t="s">
        <v>41</v>
      </c>
      <c r="D65" s="3">
        <v>45322</v>
      </c>
      <c r="E65" s="2" t="s">
        <v>310</v>
      </c>
      <c r="F65" s="2" t="s">
        <v>311</v>
      </c>
      <c r="G65" s="10">
        <v>54692.09</v>
      </c>
      <c r="H65" t="str">
        <v>Sales</v>
      </c>
      <c r="I65" t="str">
        <v>Megan Orr</v>
      </c>
      <c r="J65" t="str">
        <v>nathanbrady@yahoo.com</v>
      </c>
      <c r="K65" t="str">
        <f t="shared" si="1"/>
        <v>31-01-2024</v>
      </c>
      <c r="L65" s="19">
        <f t="shared" si="0"/>
        <v>54692.09</v>
      </c>
      <c r="M65" s="10" t="str">
        <v>Sales</v>
      </c>
      <c r="N65" s="2" t="str">
        <f t="shared" si="2"/>
        <v>Has Email</v>
      </c>
      <c r="O65" t="str">
        <f t="shared" si="3"/>
        <v>Megan Orr</v>
      </c>
    </row>
    <row r="66" spans="1:15" x14ac:dyDescent="0.4">
      <c r="A66" s="2" t="s">
        <v>312</v>
      </c>
      <c r="B66" s="2" t="s">
        <v>313</v>
      </c>
      <c r="C66" s="2" t="s">
        <v>24</v>
      </c>
      <c r="D66" s="3">
        <v>45198</v>
      </c>
      <c r="E66" s="2" t="s">
        <v>314</v>
      </c>
      <c r="F66" s="2" t="s">
        <v>315</v>
      </c>
      <c r="G66" s="10">
        <v>88185.25</v>
      </c>
      <c r="H66" t="str">
        <v>It</v>
      </c>
      <c r="I66" t="str">
        <v>Elizabeth Kelley</v>
      </c>
      <c r="J66" t="str">
        <v>rogersruben@brown.com</v>
      </c>
      <c r="K66" t="str">
        <f t="shared" si="1"/>
        <v>29-09-2023</v>
      </c>
      <c r="L66" s="19">
        <f t="shared" ref="L66:L129" si="4">IF(ISBLANK(G66),AVERAGE($G$2:$G$251),G66)</f>
        <v>88185.25</v>
      </c>
      <c r="M66" s="10" t="str">
        <v>IT</v>
      </c>
      <c r="N66" s="2" t="str">
        <f t="shared" si="2"/>
        <v>Has Email</v>
      </c>
      <c r="O66" t="str">
        <f t="shared" si="3"/>
        <v>Elizabeth Kelley</v>
      </c>
    </row>
    <row r="67" spans="1:15" x14ac:dyDescent="0.4">
      <c r="A67" s="2" t="s">
        <v>316</v>
      </c>
      <c r="B67" s="2" t="s">
        <v>317</v>
      </c>
      <c r="C67" s="2" t="s">
        <v>9</v>
      </c>
      <c r="D67" s="3">
        <v>43580</v>
      </c>
      <c r="E67" s="2" t="s">
        <v>318</v>
      </c>
      <c r="F67" s="2" t="s">
        <v>319</v>
      </c>
      <c r="G67" s="10">
        <v>115591.29</v>
      </c>
      <c r="H67" t="str">
        <v>Operations</v>
      </c>
      <c r="I67" t="str">
        <v>Dustin Jordan</v>
      </c>
      <c r="J67" t="str">
        <v>ddixon@yahoo.com</v>
      </c>
      <c r="K67" t="str">
        <f t="shared" ref="K67:K130" si="5">TEXT(D67,"dd-mm-yyyy")</f>
        <v>25-04-2019</v>
      </c>
      <c r="L67" s="19">
        <f t="shared" si="4"/>
        <v>115591.29</v>
      </c>
      <c r="M67" s="10" t="str">
        <v>Operations</v>
      </c>
      <c r="N67" s="2" t="str">
        <f t="shared" ref="N67:N130" si="6">IF(ISBLANK(E67),"No Email","Has Email")</f>
        <v>Has Email</v>
      </c>
      <c r="O67" t="str">
        <f t="shared" ref="O67:O130" si="7">CLEAN(B67)</f>
        <v>Dustin Jordan</v>
      </c>
    </row>
    <row r="68" spans="1:15" x14ac:dyDescent="0.4">
      <c r="A68" s="2" t="s">
        <v>322</v>
      </c>
      <c r="B68" s="2" t="s">
        <v>323</v>
      </c>
      <c r="C68" s="2" t="s">
        <v>41</v>
      </c>
      <c r="D68" s="3">
        <v>44255</v>
      </c>
      <c r="E68" s="2" t="s">
        <v>324</v>
      </c>
      <c r="F68" s="2" t="s">
        <v>325</v>
      </c>
      <c r="G68" s="10">
        <v>95735.95</v>
      </c>
      <c r="H68" t="str">
        <v>Sales</v>
      </c>
      <c r="I68" t="str">
        <v>Rebecca Jackson</v>
      </c>
      <c r="J68" t="str">
        <v>marcbutler@hotmail.com</v>
      </c>
      <c r="K68" t="str">
        <f t="shared" si="5"/>
        <v>28-02-2021</v>
      </c>
      <c r="L68" s="19">
        <f t="shared" si="4"/>
        <v>95735.95</v>
      </c>
      <c r="M68" s="10" t="str">
        <v>Sales</v>
      </c>
      <c r="N68" s="2" t="str">
        <f t="shared" si="6"/>
        <v>Has Email</v>
      </c>
      <c r="O68" t="str">
        <f t="shared" si="7"/>
        <v>Rebecca Jackson</v>
      </c>
    </row>
    <row r="69" spans="1:15" x14ac:dyDescent="0.4">
      <c r="A69" s="2" t="s">
        <v>326</v>
      </c>
      <c r="B69" s="2" t="s">
        <v>327</v>
      </c>
      <c r="C69" s="2" t="s">
        <v>29</v>
      </c>
      <c r="D69" s="3">
        <v>44790</v>
      </c>
      <c r="E69" s="2" t="s">
        <v>328</v>
      </c>
      <c r="F69" s="2" t="s">
        <v>329</v>
      </c>
      <c r="G69" s="10">
        <v>88651.26</v>
      </c>
      <c r="H69" t="str">
        <v>Finance</v>
      </c>
      <c r="I69" t="str">
        <v>Courtney Gonzalez</v>
      </c>
      <c r="J69" t="str">
        <v>jeffreyblack@finley.info</v>
      </c>
      <c r="K69" t="str">
        <f t="shared" si="5"/>
        <v>17-08-2022</v>
      </c>
      <c r="L69" s="19">
        <f t="shared" si="4"/>
        <v>88651.26</v>
      </c>
      <c r="M69" s="10" t="str">
        <v>Finance</v>
      </c>
      <c r="N69" s="2" t="str">
        <f t="shared" si="6"/>
        <v>Has Email</v>
      </c>
      <c r="O69" t="str">
        <f t="shared" si="7"/>
        <v>Courtney Gonzalez</v>
      </c>
    </row>
    <row r="70" spans="1:15" x14ac:dyDescent="0.4">
      <c r="A70" s="2" t="s">
        <v>330</v>
      </c>
      <c r="B70" s="2" t="s">
        <v>331</v>
      </c>
      <c r="C70" s="2" t="s">
        <v>29</v>
      </c>
      <c r="D70" s="3">
        <v>43125</v>
      </c>
      <c r="E70" s="2" t="s">
        <v>332</v>
      </c>
      <c r="F70" s="2" t="s">
        <v>333</v>
      </c>
      <c r="G70" s="10">
        <v>58591.82</v>
      </c>
      <c r="H70" t="str">
        <v>Finance</v>
      </c>
      <c r="I70" t="str">
        <v>David Alvarez</v>
      </c>
      <c r="J70" t="str">
        <v>mark87@gmail.com</v>
      </c>
      <c r="K70" t="str">
        <f t="shared" si="5"/>
        <v>25-01-2018</v>
      </c>
      <c r="L70" s="19">
        <f t="shared" si="4"/>
        <v>58591.82</v>
      </c>
      <c r="M70" s="10" t="str">
        <v>Finance</v>
      </c>
      <c r="N70" s="2" t="str">
        <f t="shared" si="6"/>
        <v>Has Email</v>
      </c>
      <c r="O70" t="str">
        <f t="shared" si="7"/>
        <v>David Alvarez</v>
      </c>
    </row>
    <row r="71" spans="1:15" x14ac:dyDescent="0.4">
      <c r="A71" s="2" t="s">
        <v>334</v>
      </c>
      <c r="B71" s="2" t="s">
        <v>335</v>
      </c>
      <c r="C71" s="2" t="s">
        <v>48</v>
      </c>
      <c r="D71" s="3">
        <v>45512</v>
      </c>
      <c r="E71" s="2" t="s">
        <v>336</v>
      </c>
      <c r="F71" s="2" t="s">
        <v>337</v>
      </c>
      <c r="G71" s="10">
        <v>116997.87</v>
      </c>
      <c r="H71" t="str">
        <v>Marketing</v>
      </c>
      <c r="I71" t="str">
        <v>Cheyenne Horton</v>
      </c>
      <c r="J71" t="str">
        <v>frichardson@oconnor.com</v>
      </c>
      <c r="K71" t="str">
        <f t="shared" si="5"/>
        <v>08-08-2024</v>
      </c>
      <c r="L71" s="19">
        <f t="shared" si="4"/>
        <v>116997.87</v>
      </c>
      <c r="M71" s="10" t="str">
        <v>Marketing</v>
      </c>
      <c r="N71" s="2" t="str">
        <f t="shared" si="6"/>
        <v>Has Email</v>
      </c>
      <c r="O71" t="str">
        <f t="shared" si="7"/>
        <v>Cheyenne Horton</v>
      </c>
    </row>
    <row r="72" spans="1:15" x14ac:dyDescent="0.4">
      <c r="A72" s="2" t="s">
        <v>338</v>
      </c>
      <c r="B72" s="2" t="s">
        <v>339</v>
      </c>
      <c r="C72" s="2" t="s">
        <v>13</v>
      </c>
      <c r="D72" s="3">
        <v>42972</v>
      </c>
      <c r="E72" s="2" t="s">
        <v>340</v>
      </c>
      <c r="F72" s="2" t="s">
        <v>341</v>
      </c>
      <c r="G72" s="10">
        <v>39699.370000000003</v>
      </c>
      <c r="H72" t="str">
        <v>Hr</v>
      </c>
      <c r="I72" t="str">
        <v>Patricia Rodriguez</v>
      </c>
      <c r="J72" t="str">
        <v>usweeney@garcia-moreno.com</v>
      </c>
      <c r="K72" t="str">
        <f t="shared" si="5"/>
        <v>25-08-2017</v>
      </c>
      <c r="L72" s="19">
        <f t="shared" si="4"/>
        <v>39699.370000000003</v>
      </c>
      <c r="M72" s="10" t="str">
        <v>HR</v>
      </c>
      <c r="N72" s="2" t="str">
        <f t="shared" si="6"/>
        <v>Has Email</v>
      </c>
      <c r="O72" t="str">
        <f t="shared" si="7"/>
        <v>Patricia Rodriguez</v>
      </c>
    </row>
    <row r="73" spans="1:15" x14ac:dyDescent="0.4">
      <c r="A73" s="2" t="s">
        <v>343</v>
      </c>
      <c r="B73" s="2" t="s">
        <v>344</v>
      </c>
      <c r="C73" s="2" t="s">
        <v>29</v>
      </c>
      <c r="D73" s="3">
        <v>43815</v>
      </c>
      <c r="E73" s="2" t="s">
        <v>345</v>
      </c>
      <c r="F73" s="2" t="s">
        <v>346</v>
      </c>
      <c r="G73" s="10">
        <v>58260.83</v>
      </c>
      <c r="H73" t="str">
        <v>Finance</v>
      </c>
      <c r="I73" t="str">
        <v>Amber Wright</v>
      </c>
      <c r="J73" t="str">
        <v>williamsjesse@hotmail.com</v>
      </c>
      <c r="K73" t="str">
        <f t="shared" si="5"/>
        <v>16-12-2019</v>
      </c>
      <c r="L73" s="19">
        <f t="shared" si="4"/>
        <v>58260.83</v>
      </c>
      <c r="M73" s="10" t="str">
        <v>Finance</v>
      </c>
      <c r="N73" s="2" t="str">
        <f t="shared" si="6"/>
        <v>Has Email</v>
      </c>
      <c r="O73" t="str">
        <f t="shared" si="7"/>
        <v>Amber Wright</v>
      </c>
    </row>
    <row r="74" spans="1:15" x14ac:dyDescent="0.4">
      <c r="A74" s="2" t="s">
        <v>347</v>
      </c>
      <c r="B74" s="2" t="s">
        <v>348</v>
      </c>
      <c r="C74" s="2" t="s">
        <v>9</v>
      </c>
      <c r="D74" s="3">
        <v>45211</v>
      </c>
      <c r="E74" s="2" t="s">
        <v>349</v>
      </c>
      <c r="F74" s="2" t="s">
        <v>350</v>
      </c>
      <c r="G74" s="10">
        <v>35914.1</v>
      </c>
      <c r="H74" t="str">
        <v>Operations</v>
      </c>
      <c r="I74" t="str">
        <v>Joyce Solis</v>
      </c>
      <c r="J74" t="str">
        <v>stephen19@gmail.com</v>
      </c>
      <c r="K74" t="str">
        <f t="shared" si="5"/>
        <v>12-10-2023</v>
      </c>
      <c r="L74" s="19">
        <f t="shared" si="4"/>
        <v>35914.1</v>
      </c>
      <c r="M74" s="10" t="str">
        <v>Operations</v>
      </c>
      <c r="N74" s="2" t="str">
        <f t="shared" si="6"/>
        <v>Has Email</v>
      </c>
      <c r="O74" t="str">
        <f t="shared" si="7"/>
        <v>Joyce Solis</v>
      </c>
    </row>
    <row r="75" spans="1:15" x14ac:dyDescent="0.4">
      <c r="A75" s="2" t="s">
        <v>351</v>
      </c>
      <c r="B75" s="2" t="s">
        <v>352</v>
      </c>
      <c r="C75" s="2" t="s">
        <v>29</v>
      </c>
      <c r="D75" s="3">
        <v>43074</v>
      </c>
      <c r="E75" s="2" t="s">
        <v>353</v>
      </c>
      <c r="F75" s="2" t="s">
        <v>354</v>
      </c>
      <c r="G75" s="10">
        <v>79539.5</v>
      </c>
      <c r="H75" t="str">
        <v>Finance</v>
      </c>
      <c r="I75" t="str">
        <v>Victoria Larson</v>
      </c>
      <c r="J75" t="str">
        <v>kjones@graham.com</v>
      </c>
      <c r="K75" t="str">
        <f t="shared" si="5"/>
        <v>05-12-2017</v>
      </c>
      <c r="L75" s="19">
        <f t="shared" si="4"/>
        <v>79539.5</v>
      </c>
      <c r="M75" s="10" t="str">
        <v>Finance</v>
      </c>
      <c r="N75" s="2" t="str">
        <f t="shared" si="6"/>
        <v>Has Email</v>
      </c>
      <c r="O75" t="str">
        <f t="shared" si="7"/>
        <v>Victoria Larson</v>
      </c>
    </row>
    <row r="76" spans="1:15" x14ac:dyDescent="0.4">
      <c r="A76" s="2" t="s">
        <v>357</v>
      </c>
      <c r="B76" s="2" t="s">
        <v>358</v>
      </c>
      <c r="C76" s="2" t="s">
        <v>41</v>
      </c>
      <c r="D76" s="3">
        <v>43853</v>
      </c>
      <c r="E76" s="2" t="s">
        <v>359</v>
      </c>
      <c r="F76" s="2" t="s">
        <v>360</v>
      </c>
      <c r="G76" s="10">
        <v>27750.55</v>
      </c>
      <c r="H76" t="str">
        <v>Sales</v>
      </c>
      <c r="I76" t="str">
        <v>Stephanie Manning</v>
      </c>
      <c r="J76" t="str">
        <v>jesus32@hotmail.com</v>
      </c>
      <c r="K76" t="str">
        <f t="shared" si="5"/>
        <v>23-01-2020</v>
      </c>
      <c r="L76" s="19">
        <f t="shared" si="4"/>
        <v>27750.55</v>
      </c>
      <c r="M76" s="10" t="str">
        <v>Sales</v>
      </c>
      <c r="N76" s="2" t="str">
        <f t="shared" si="6"/>
        <v>Has Email</v>
      </c>
      <c r="O76" t="str">
        <f t="shared" si="7"/>
        <v>Stephanie Manning</v>
      </c>
    </row>
    <row r="77" spans="1:15" x14ac:dyDescent="0.4">
      <c r="A77" s="2" t="s">
        <v>361</v>
      </c>
      <c r="B77" s="2" t="s">
        <v>362</v>
      </c>
      <c r="C77" s="2" t="s">
        <v>13</v>
      </c>
      <c r="D77" s="3">
        <v>43188</v>
      </c>
      <c r="E77" s="2" t="s">
        <v>363</v>
      </c>
      <c r="F77" s="2" t="s">
        <v>364</v>
      </c>
      <c r="G77" s="10">
        <v>91756.38</v>
      </c>
      <c r="H77" t="str">
        <v>Hr</v>
      </c>
      <c r="I77" t="str">
        <v>DAVID WRIGHT</v>
      </c>
      <c r="J77" t="str">
        <v>danielcole@russell-herrera.com</v>
      </c>
      <c r="K77" t="str">
        <f t="shared" si="5"/>
        <v>29-03-2018</v>
      </c>
      <c r="L77" s="19">
        <f t="shared" si="4"/>
        <v>91756.38</v>
      </c>
      <c r="M77" s="10" t="str">
        <v>HR</v>
      </c>
      <c r="N77" s="2" t="str">
        <f t="shared" si="6"/>
        <v>Has Email</v>
      </c>
      <c r="O77" t="str">
        <f t="shared" si="7"/>
        <v>DAVID WRIGHT</v>
      </c>
    </row>
    <row r="78" spans="1:15" x14ac:dyDescent="0.4">
      <c r="A78" s="2" t="s">
        <v>365</v>
      </c>
      <c r="B78" s="2" t="s">
        <v>366</v>
      </c>
      <c r="C78" s="2" t="s">
        <v>48</v>
      </c>
      <c r="D78" s="3">
        <v>42914</v>
      </c>
      <c r="E78" s="2" t="s">
        <v>367</v>
      </c>
      <c r="F78" s="2" t="s">
        <v>368</v>
      </c>
      <c r="G78" s="10">
        <v>112546.06</v>
      </c>
      <c r="H78" t="str">
        <v>Marketing</v>
      </c>
      <c r="I78" t="str">
        <v>Pamela Boyd</v>
      </c>
      <c r="J78" t="str">
        <v>steven11@gmail.com</v>
      </c>
      <c r="K78" t="str">
        <f t="shared" si="5"/>
        <v>28-06-2017</v>
      </c>
      <c r="L78" s="19">
        <f t="shared" si="4"/>
        <v>112546.06</v>
      </c>
      <c r="M78" s="10" t="str">
        <v>Marketing</v>
      </c>
      <c r="N78" s="2" t="str">
        <f t="shared" si="6"/>
        <v>Has Email</v>
      </c>
      <c r="O78" t="str">
        <f t="shared" si="7"/>
        <v>Pamela Boyd</v>
      </c>
    </row>
    <row r="79" spans="1:15" x14ac:dyDescent="0.4">
      <c r="A79" s="2" t="s">
        <v>370</v>
      </c>
      <c r="B79" s="2" t="s">
        <v>371</v>
      </c>
      <c r="C79" s="2" t="s">
        <v>41</v>
      </c>
      <c r="D79" s="3">
        <v>44116</v>
      </c>
      <c r="E79" s="2" t="s">
        <v>372</v>
      </c>
      <c r="F79" s="2" t="s">
        <v>373</v>
      </c>
      <c r="G79" s="10">
        <v>78800.5</v>
      </c>
      <c r="H79" t="str">
        <v>Sales</v>
      </c>
      <c r="I79" t="str">
        <v>Devon Flores</v>
      </c>
      <c r="J79" t="str">
        <v>tanyafoster@byrd.com</v>
      </c>
      <c r="K79" t="str">
        <f t="shared" si="5"/>
        <v>12-10-2020</v>
      </c>
      <c r="L79" s="19">
        <f t="shared" si="4"/>
        <v>78800.5</v>
      </c>
      <c r="M79" s="10" t="str">
        <v>Sales</v>
      </c>
      <c r="N79" s="2" t="str">
        <f t="shared" si="6"/>
        <v>Has Email</v>
      </c>
      <c r="O79" t="str">
        <f t="shared" si="7"/>
        <v>Devon Flores</v>
      </c>
    </row>
    <row r="80" spans="1:15" x14ac:dyDescent="0.4">
      <c r="A80" s="2" t="s">
        <v>375</v>
      </c>
      <c r="B80" s="2" t="s">
        <v>376</v>
      </c>
      <c r="C80" s="2" t="s">
        <v>24</v>
      </c>
      <c r="D80" s="3">
        <v>43855</v>
      </c>
      <c r="E80" s="2" t="s">
        <v>377</v>
      </c>
      <c r="F80" s="2" t="s">
        <v>378</v>
      </c>
      <c r="G80" s="10">
        <v>60738.47</v>
      </c>
      <c r="H80" t="str">
        <v>It</v>
      </c>
      <c r="I80" t="str">
        <v>Joshua Perry</v>
      </c>
      <c r="J80" t="str">
        <v>samantha10@gonzalez.info</v>
      </c>
      <c r="K80" t="str">
        <f t="shared" si="5"/>
        <v>25-01-2020</v>
      </c>
      <c r="L80" s="19">
        <f t="shared" si="4"/>
        <v>60738.47</v>
      </c>
      <c r="M80" s="10" t="str">
        <v>IT</v>
      </c>
      <c r="N80" s="2" t="str">
        <f t="shared" si="6"/>
        <v>Has Email</v>
      </c>
      <c r="O80" t="str">
        <f t="shared" si="7"/>
        <v>Joshua Perry</v>
      </c>
    </row>
    <row r="81" spans="1:15" x14ac:dyDescent="0.4">
      <c r="A81" s="2" t="s">
        <v>379</v>
      </c>
      <c r="B81" s="2" t="s">
        <v>380</v>
      </c>
      <c r="C81" s="2" t="s">
        <v>41</v>
      </c>
      <c r="D81" s="3">
        <v>43305</v>
      </c>
      <c r="E81" s="2" t="s">
        <v>381</v>
      </c>
      <c r="F81" s="2" t="s">
        <v>382</v>
      </c>
      <c r="G81" s="10">
        <v>57385.120000000003</v>
      </c>
      <c r="H81" t="str">
        <v>Sales</v>
      </c>
      <c r="I81" t="str">
        <v>Jason Stein</v>
      </c>
      <c r="J81" t="str">
        <v>steinmaria@martinez-dunlap.com</v>
      </c>
      <c r="K81" t="str">
        <f t="shared" si="5"/>
        <v>24-07-2018</v>
      </c>
      <c r="L81" s="19">
        <f t="shared" si="4"/>
        <v>57385.120000000003</v>
      </c>
      <c r="M81" s="10" t="str">
        <v>Sales</v>
      </c>
      <c r="N81" s="2" t="str">
        <f t="shared" si="6"/>
        <v>Has Email</v>
      </c>
      <c r="O81" t="str">
        <f t="shared" si="7"/>
        <v>Jason Stein</v>
      </c>
    </row>
    <row r="82" spans="1:15" x14ac:dyDescent="0.4">
      <c r="A82" s="2" t="s">
        <v>383</v>
      </c>
      <c r="B82" s="2" t="s">
        <v>384</v>
      </c>
      <c r="C82" s="2" t="s">
        <v>13</v>
      </c>
      <c r="D82" s="3">
        <v>44347</v>
      </c>
      <c r="E82" s="2" t="s">
        <v>385</v>
      </c>
      <c r="F82" s="2" t="s">
        <v>386</v>
      </c>
      <c r="G82" s="10">
        <v>54605.55</v>
      </c>
      <c r="H82" t="str">
        <v>Hr</v>
      </c>
      <c r="I82" t="str">
        <v>Melissa Gates</v>
      </c>
      <c r="J82" t="str">
        <v>zunderwood@johnson-vega.com</v>
      </c>
      <c r="K82" t="str">
        <f t="shared" si="5"/>
        <v>31-05-2021</v>
      </c>
      <c r="L82" s="19">
        <f t="shared" si="4"/>
        <v>54605.55</v>
      </c>
      <c r="M82" s="10" t="str">
        <v>HR</v>
      </c>
      <c r="N82" s="2" t="str">
        <f t="shared" si="6"/>
        <v>Has Email</v>
      </c>
      <c r="O82" t="str">
        <f t="shared" si="7"/>
        <v>Melissa Gates</v>
      </c>
    </row>
    <row r="83" spans="1:15" x14ac:dyDescent="0.4">
      <c r="A83" s="2" t="s">
        <v>390</v>
      </c>
      <c r="B83" s="2" t="s">
        <v>391</v>
      </c>
      <c r="C83" s="2" t="s">
        <v>9</v>
      </c>
      <c r="D83" s="3">
        <v>43303</v>
      </c>
      <c r="E83" s="2" t="s">
        <v>392</v>
      </c>
      <c r="F83" s="2" t="s">
        <v>393</v>
      </c>
      <c r="G83" s="10">
        <v>89027.03</v>
      </c>
      <c r="H83" t="str">
        <v>Operations</v>
      </c>
      <c r="I83" t="str">
        <v>Lindsey Walker</v>
      </c>
      <c r="J83" t="str">
        <v>patrick63@wilkerson.net</v>
      </c>
      <c r="K83" t="str">
        <f t="shared" si="5"/>
        <v>22-07-2018</v>
      </c>
      <c r="L83" s="19">
        <f t="shared" si="4"/>
        <v>89027.03</v>
      </c>
      <c r="M83" s="10" t="str">
        <v>Operations</v>
      </c>
      <c r="N83" s="2" t="str">
        <f t="shared" si="6"/>
        <v>Has Email</v>
      </c>
      <c r="O83" t="str">
        <f t="shared" si="7"/>
        <v>Lindsey Walker</v>
      </c>
    </row>
    <row r="84" spans="1:15" x14ac:dyDescent="0.4">
      <c r="A84" s="2" t="s">
        <v>394</v>
      </c>
      <c r="B84" s="2" t="s">
        <v>395</v>
      </c>
      <c r="C84" s="2" t="s">
        <v>41</v>
      </c>
      <c r="D84" s="3">
        <v>45409</v>
      </c>
      <c r="E84" s="2" t="s">
        <v>396</v>
      </c>
      <c r="F84" s="2" t="s">
        <v>397</v>
      </c>
      <c r="G84" s="10">
        <v>67095.73</v>
      </c>
      <c r="H84" t="str">
        <v>Sales</v>
      </c>
      <c r="I84" t="str">
        <v>Jeffrey Johnson</v>
      </c>
      <c r="J84" t="str">
        <v>wcasey@stephens-washington.org</v>
      </c>
      <c r="K84" t="str">
        <f t="shared" si="5"/>
        <v>27-04-2024</v>
      </c>
      <c r="L84" s="19">
        <f t="shared" si="4"/>
        <v>67095.73</v>
      </c>
      <c r="M84" s="10" t="str">
        <v>Sales</v>
      </c>
      <c r="N84" s="2" t="str">
        <f t="shared" si="6"/>
        <v>Has Email</v>
      </c>
      <c r="O84" t="str">
        <f t="shared" si="7"/>
        <v>Jeffrey Johnson</v>
      </c>
    </row>
    <row r="85" spans="1:15" x14ac:dyDescent="0.4">
      <c r="A85" s="2" t="s">
        <v>398</v>
      </c>
      <c r="B85" s="2" t="s">
        <v>399</v>
      </c>
      <c r="C85" s="2" t="s">
        <v>24</v>
      </c>
      <c r="D85" s="3">
        <v>45511</v>
      </c>
      <c r="E85" s="2" t="s">
        <v>400</v>
      </c>
      <c r="F85" s="2" t="s">
        <v>401</v>
      </c>
      <c r="G85" s="10">
        <v>71137.86</v>
      </c>
      <c r="H85" t="str">
        <v>It</v>
      </c>
      <c r="I85" t="str">
        <v>Michael Powell</v>
      </c>
      <c r="J85" t="str">
        <v>bnelson@yahoo.com</v>
      </c>
      <c r="K85" t="str">
        <f t="shared" si="5"/>
        <v>07-08-2024</v>
      </c>
      <c r="L85" s="19">
        <f t="shared" si="4"/>
        <v>71137.86</v>
      </c>
      <c r="M85" s="10" t="str">
        <v>IT</v>
      </c>
      <c r="N85" s="2" t="str">
        <f t="shared" si="6"/>
        <v>Has Email</v>
      </c>
      <c r="O85" t="str">
        <f t="shared" si="7"/>
        <v>Michael Powell</v>
      </c>
    </row>
    <row r="86" spans="1:15" x14ac:dyDescent="0.4">
      <c r="A86" s="2" t="s">
        <v>405</v>
      </c>
      <c r="B86" s="2" t="s">
        <v>406</v>
      </c>
      <c r="C86" s="2" t="s">
        <v>48</v>
      </c>
      <c r="D86" s="3">
        <v>42457</v>
      </c>
      <c r="E86" s="2" t="s">
        <v>407</v>
      </c>
      <c r="F86" s="2" t="s">
        <v>408</v>
      </c>
      <c r="G86" s="10">
        <v>75058.740000000005</v>
      </c>
      <c r="H86" t="str">
        <v>Marketing</v>
      </c>
      <c r="I86" t="str">
        <v>Daniel Murphy</v>
      </c>
      <c r="J86" t="str">
        <v>brittanydrake@howard.com</v>
      </c>
      <c r="K86" t="str">
        <f t="shared" si="5"/>
        <v>28-03-2016</v>
      </c>
      <c r="L86" s="19">
        <f t="shared" si="4"/>
        <v>75058.740000000005</v>
      </c>
      <c r="M86" s="10" t="str">
        <v>Marketing</v>
      </c>
      <c r="N86" s="2" t="str">
        <f t="shared" si="6"/>
        <v>Has Email</v>
      </c>
      <c r="O86" t="str">
        <f t="shared" si="7"/>
        <v>Daniel Murphy</v>
      </c>
    </row>
    <row r="87" spans="1:15" x14ac:dyDescent="0.4">
      <c r="A87" s="2" t="s">
        <v>409</v>
      </c>
      <c r="B87" s="2" t="s">
        <v>410</v>
      </c>
      <c r="C87" s="2" t="s">
        <v>29</v>
      </c>
      <c r="D87" s="3">
        <v>42872</v>
      </c>
      <c r="E87" s="2" t="s">
        <v>411</v>
      </c>
      <c r="F87" s="2" t="s">
        <v>412</v>
      </c>
      <c r="G87" s="10">
        <v>29314.65</v>
      </c>
      <c r="H87" t="str">
        <v>Finance</v>
      </c>
      <c r="I87" t="str">
        <v>Jamie Walton</v>
      </c>
      <c r="J87" t="str">
        <v>marycochran@weaver-thompson.com</v>
      </c>
      <c r="K87" t="str">
        <f t="shared" si="5"/>
        <v>17-05-2017</v>
      </c>
      <c r="L87" s="19">
        <f t="shared" si="4"/>
        <v>29314.65</v>
      </c>
      <c r="M87" s="10" t="str">
        <v>Finance</v>
      </c>
      <c r="N87" s="2" t="str">
        <f t="shared" si="6"/>
        <v>Has Email</v>
      </c>
      <c r="O87" t="str">
        <f t="shared" si="7"/>
        <v>Jamie Walton</v>
      </c>
    </row>
    <row r="88" spans="1:15" x14ac:dyDescent="0.4">
      <c r="A88" s="2" t="s">
        <v>414</v>
      </c>
      <c r="B88" s="2" t="s">
        <v>415</v>
      </c>
      <c r="C88" s="2" t="s">
        <v>13</v>
      </c>
      <c r="D88" s="3">
        <v>45453</v>
      </c>
      <c r="E88" s="2" t="s">
        <v>416</v>
      </c>
      <c r="F88" s="2" t="s">
        <v>417</v>
      </c>
      <c r="G88" s="10">
        <v>25730.27</v>
      </c>
      <c r="H88" t="str">
        <v>Hr</v>
      </c>
      <c r="I88" t="str">
        <v>Joshua Cooke</v>
      </c>
      <c r="J88" t="str">
        <v>halljeffery@woods.com</v>
      </c>
      <c r="K88" t="str">
        <f t="shared" si="5"/>
        <v>10-06-2024</v>
      </c>
      <c r="L88" s="19">
        <f t="shared" si="4"/>
        <v>25730.27</v>
      </c>
      <c r="M88" s="10" t="str">
        <v>HR</v>
      </c>
      <c r="N88" s="2" t="str">
        <f t="shared" si="6"/>
        <v>Has Email</v>
      </c>
      <c r="O88" t="str">
        <f t="shared" si="7"/>
        <v>Joshua Cooke</v>
      </c>
    </row>
    <row r="89" spans="1:15" x14ac:dyDescent="0.4">
      <c r="A89" s="2" t="s">
        <v>419</v>
      </c>
      <c r="B89" s="2" t="s">
        <v>420</v>
      </c>
      <c r="C89" s="2" t="s">
        <v>9</v>
      </c>
      <c r="D89" s="3">
        <v>43808</v>
      </c>
      <c r="E89" s="2" t="s">
        <v>421</v>
      </c>
      <c r="F89" s="2" t="s">
        <v>422</v>
      </c>
      <c r="G89" s="10">
        <v>97595.29</v>
      </c>
      <c r="H89" t="str">
        <v>Operations</v>
      </c>
      <c r="I89" t="str">
        <v>Nicole Herring</v>
      </c>
      <c r="J89" t="str">
        <v>hernandezjanet@schroeder.com</v>
      </c>
      <c r="K89" t="str">
        <f t="shared" si="5"/>
        <v>09-12-2019</v>
      </c>
      <c r="L89" s="19">
        <f t="shared" si="4"/>
        <v>97595.29</v>
      </c>
      <c r="M89" s="10" t="str">
        <v>Operations</v>
      </c>
      <c r="N89" s="2" t="str">
        <f t="shared" si="6"/>
        <v>Has Email</v>
      </c>
      <c r="O89" t="str">
        <f t="shared" si="7"/>
        <v>Nicole Herring</v>
      </c>
    </row>
    <row r="90" spans="1:15" x14ac:dyDescent="0.4">
      <c r="A90" s="2" t="s">
        <v>424</v>
      </c>
      <c r="B90" s="2" t="s">
        <v>425</v>
      </c>
      <c r="C90" s="2" t="s">
        <v>41</v>
      </c>
      <c r="D90" s="3">
        <v>45937</v>
      </c>
      <c r="E90" s="2" t="s">
        <v>426</v>
      </c>
      <c r="F90" s="2" t="s">
        <v>427</v>
      </c>
      <c r="G90" s="10">
        <v>72251.61</v>
      </c>
      <c r="H90" t="str">
        <v>Sales</v>
      </c>
      <c r="I90" t="str">
        <v>Michael Elliott</v>
      </c>
      <c r="J90" t="str">
        <v>janet69@rogers.com</v>
      </c>
      <c r="K90" t="str">
        <f t="shared" si="5"/>
        <v>07-10-2025</v>
      </c>
      <c r="L90" s="19">
        <f t="shared" si="4"/>
        <v>72251.61</v>
      </c>
      <c r="M90" s="10" t="str">
        <v>Sales</v>
      </c>
      <c r="N90" s="2" t="str">
        <f t="shared" si="6"/>
        <v>Has Email</v>
      </c>
      <c r="O90" t="str">
        <f t="shared" si="7"/>
        <v>Michael Elliott</v>
      </c>
    </row>
    <row r="91" spans="1:15" x14ac:dyDescent="0.4">
      <c r="A91" s="2" t="s">
        <v>428</v>
      </c>
      <c r="B91" s="2" t="s">
        <v>429</v>
      </c>
      <c r="C91" s="2" t="s">
        <v>29</v>
      </c>
      <c r="D91" s="3">
        <v>44505</v>
      </c>
      <c r="E91" s="2" t="s">
        <v>430</v>
      </c>
      <c r="F91" s="2" t="s">
        <v>431</v>
      </c>
      <c r="G91" s="10">
        <v>41691.01</v>
      </c>
      <c r="H91" t="str">
        <v>Finance</v>
      </c>
      <c r="I91" t="str">
        <v>Michael Wang</v>
      </c>
      <c r="J91" t="str">
        <v>fconner@stewart.org</v>
      </c>
      <c r="K91" t="str">
        <f t="shared" si="5"/>
        <v>05-11-2021</v>
      </c>
      <c r="L91" s="19">
        <f t="shared" si="4"/>
        <v>41691.01</v>
      </c>
      <c r="M91" s="10" t="str">
        <v>Finance</v>
      </c>
      <c r="N91" s="2" t="str">
        <f t="shared" si="6"/>
        <v>Has Email</v>
      </c>
      <c r="O91" t="str">
        <f t="shared" si="7"/>
        <v>Michael Wang</v>
      </c>
    </row>
    <row r="92" spans="1:15" x14ac:dyDescent="0.4">
      <c r="A92" s="2" t="s">
        <v>432</v>
      </c>
      <c r="B92" s="2" t="s">
        <v>433</v>
      </c>
      <c r="C92" s="2" t="s">
        <v>13</v>
      </c>
      <c r="D92" s="3">
        <v>42627</v>
      </c>
      <c r="E92" s="2" t="s">
        <v>434</v>
      </c>
      <c r="F92" s="2" t="s">
        <v>435</v>
      </c>
      <c r="G92" s="10">
        <v>72524.92</v>
      </c>
      <c r="H92" t="str">
        <v>Hr</v>
      </c>
      <c r="I92" t="str">
        <v>Robert Oconnell</v>
      </c>
      <c r="J92" t="str">
        <v>david09@yahoo.com</v>
      </c>
      <c r="K92" t="str">
        <f t="shared" si="5"/>
        <v>14-09-2016</v>
      </c>
      <c r="L92" s="19">
        <f t="shared" si="4"/>
        <v>72524.92</v>
      </c>
      <c r="M92" s="10" t="str">
        <v>HR</v>
      </c>
      <c r="N92" s="2" t="str">
        <f t="shared" si="6"/>
        <v>Has Email</v>
      </c>
      <c r="O92" t="str">
        <f t="shared" si="7"/>
        <v>Robert Oconnell</v>
      </c>
    </row>
    <row r="93" spans="1:15" x14ac:dyDescent="0.4">
      <c r="A93" s="2" t="s">
        <v>437</v>
      </c>
      <c r="B93" s="2" t="s">
        <v>438</v>
      </c>
      <c r="C93" s="2" t="s">
        <v>24</v>
      </c>
      <c r="D93" s="3">
        <v>45388</v>
      </c>
      <c r="E93" s="2" t="s">
        <v>439</v>
      </c>
      <c r="F93" s="2" t="s">
        <v>440</v>
      </c>
      <c r="G93" s="10">
        <v>66440.86</v>
      </c>
      <c r="H93" t="str">
        <v>It</v>
      </c>
      <c r="I93" t="str">
        <v>Tina Sanders</v>
      </c>
      <c r="J93" t="str">
        <v>youngtoni@gmail.com</v>
      </c>
      <c r="K93" t="str">
        <f t="shared" si="5"/>
        <v>06-04-2024</v>
      </c>
      <c r="L93" s="19">
        <f t="shared" si="4"/>
        <v>66440.86</v>
      </c>
      <c r="M93" s="10" t="str">
        <v>IT</v>
      </c>
      <c r="N93" s="2" t="str">
        <f t="shared" si="6"/>
        <v>Has Email</v>
      </c>
      <c r="O93" t="str">
        <f t="shared" si="7"/>
        <v>Tina Sanders</v>
      </c>
    </row>
    <row r="94" spans="1:15" x14ac:dyDescent="0.4">
      <c r="A94" s="2" t="s">
        <v>441</v>
      </c>
      <c r="B94" s="2" t="s">
        <v>442</v>
      </c>
      <c r="C94" s="2" t="s">
        <v>9</v>
      </c>
      <c r="D94" s="3">
        <v>45237</v>
      </c>
      <c r="E94" s="2" t="s">
        <v>443</v>
      </c>
      <c r="F94" s="2" t="s">
        <v>444</v>
      </c>
      <c r="G94" s="10">
        <v>112510.43</v>
      </c>
      <c r="H94" t="str">
        <v>Operations</v>
      </c>
      <c r="I94" t="str">
        <v>Angela Vaughn</v>
      </c>
      <c r="J94" t="str">
        <v>sean43@steele.com</v>
      </c>
      <c r="K94" t="str">
        <f t="shared" si="5"/>
        <v>07-11-2023</v>
      </c>
      <c r="L94" s="19">
        <f t="shared" si="4"/>
        <v>112510.43</v>
      </c>
      <c r="M94" s="10" t="str">
        <v>Operations</v>
      </c>
      <c r="N94" s="2" t="str">
        <f t="shared" si="6"/>
        <v>Has Email</v>
      </c>
      <c r="O94" t="str">
        <f t="shared" si="7"/>
        <v>Angela Vaughn</v>
      </c>
    </row>
    <row r="95" spans="1:15" x14ac:dyDescent="0.4">
      <c r="A95" s="2" t="s">
        <v>445</v>
      </c>
      <c r="B95" s="2" t="s">
        <v>446</v>
      </c>
      <c r="C95" s="2" t="s">
        <v>41</v>
      </c>
      <c r="D95" s="3">
        <v>44088</v>
      </c>
      <c r="E95" s="2" t="s">
        <v>447</v>
      </c>
      <c r="F95" s="2" t="s">
        <v>448</v>
      </c>
      <c r="G95" s="10">
        <v>79697.119999999995</v>
      </c>
      <c r="H95" t="str">
        <v>Sales</v>
      </c>
      <c r="I95" t="str">
        <v>Ashley Barton</v>
      </c>
      <c r="J95" t="str">
        <v>williamssamuel@costa-wilkerson.info</v>
      </c>
      <c r="K95" t="str">
        <f t="shared" si="5"/>
        <v>14-09-2020</v>
      </c>
      <c r="L95" s="19">
        <f t="shared" si="4"/>
        <v>79697.119999999995</v>
      </c>
      <c r="M95" s="10" t="str">
        <v>Sales</v>
      </c>
      <c r="N95" s="2" t="str">
        <f t="shared" si="6"/>
        <v>Has Email</v>
      </c>
      <c r="O95" t="str">
        <f t="shared" si="7"/>
        <v>Ashley Barton</v>
      </c>
    </row>
    <row r="96" spans="1:15" x14ac:dyDescent="0.4">
      <c r="A96" s="2" t="s">
        <v>450</v>
      </c>
      <c r="B96" s="2" t="s">
        <v>451</v>
      </c>
      <c r="C96" s="2" t="s">
        <v>29</v>
      </c>
      <c r="D96" s="3">
        <v>42980</v>
      </c>
      <c r="E96" s="2" t="s">
        <v>452</v>
      </c>
      <c r="F96" s="2" t="s">
        <v>453</v>
      </c>
      <c r="G96" s="10">
        <v>26981.37</v>
      </c>
      <c r="H96" t="str">
        <v>Finance</v>
      </c>
      <c r="I96" t="str">
        <v>Jonathan Peterson</v>
      </c>
      <c r="J96" t="str">
        <v>amy17@hotmail.com</v>
      </c>
      <c r="K96" t="str">
        <f t="shared" si="5"/>
        <v>02-09-2017</v>
      </c>
      <c r="L96" s="19">
        <f t="shared" si="4"/>
        <v>26981.37</v>
      </c>
      <c r="M96" s="10" t="str">
        <v>Finance</v>
      </c>
      <c r="N96" s="2" t="str">
        <f t="shared" si="6"/>
        <v>Has Email</v>
      </c>
      <c r="O96" t="str">
        <f t="shared" si="7"/>
        <v>Jonathan Peterson</v>
      </c>
    </row>
    <row r="97" spans="1:15" x14ac:dyDescent="0.4">
      <c r="A97" s="2" t="s">
        <v>454</v>
      </c>
      <c r="B97" s="2" t="s">
        <v>455</v>
      </c>
      <c r="C97" s="2" t="s">
        <v>24</v>
      </c>
      <c r="D97" s="3">
        <v>44990</v>
      </c>
      <c r="E97" s="2" t="s">
        <v>456</v>
      </c>
      <c r="F97" s="2" t="s">
        <v>457</v>
      </c>
      <c r="G97" s="10">
        <v>41327.949999999997</v>
      </c>
      <c r="H97" t="str">
        <v>It</v>
      </c>
      <c r="I97" t="str">
        <v>Samantha Garcia</v>
      </c>
      <c r="J97" t="str">
        <v>shannonlloyd@phillips.com</v>
      </c>
      <c r="K97" t="str">
        <f t="shared" si="5"/>
        <v>05-03-2023</v>
      </c>
      <c r="L97" s="19">
        <f t="shared" si="4"/>
        <v>41327.949999999997</v>
      </c>
      <c r="M97" s="10" t="str">
        <v>IT</v>
      </c>
      <c r="N97" s="2" t="str">
        <f t="shared" si="6"/>
        <v>Has Email</v>
      </c>
      <c r="O97" t="str">
        <f t="shared" si="7"/>
        <v>Samantha Garcia</v>
      </c>
    </row>
    <row r="98" spans="1:15" x14ac:dyDescent="0.4">
      <c r="A98" s="2" t="s">
        <v>458</v>
      </c>
      <c r="B98" s="2" t="s">
        <v>459</v>
      </c>
      <c r="C98" s="2" t="s">
        <v>29</v>
      </c>
      <c r="D98" s="3">
        <v>43145</v>
      </c>
      <c r="E98" s="2" t="s">
        <v>460</v>
      </c>
      <c r="F98" s="2" t="s">
        <v>461</v>
      </c>
      <c r="G98" s="10">
        <v>104042.46</v>
      </c>
      <c r="H98" t="str">
        <v>Finance</v>
      </c>
      <c r="I98" t="str">
        <v>Madison Poole</v>
      </c>
      <c r="J98" t="str">
        <v>petersonpamela@dennis.com</v>
      </c>
      <c r="K98" t="str">
        <f t="shared" si="5"/>
        <v>14-02-2018</v>
      </c>
      <c r="L98" s="19">
        <f t="shared" si="4"/>
        <v>104042.46</v>
      </c>
      <c r="M98" s="10" t="str">
        <v>Finance</v>
      </c>
      <c r="N98" s="2" t="str">
        <f t="shared" si="6"/>
        <v>Has Email</v>
      </c>
      <c r="O98" t="str">
        <f t="shared" si="7"/>
        <v>Madison Poole</v>
      </c>
    </row>
    <row r="99" spans="1:15" x14ac:dyDescent="0.4">
      <c r="A99" s="2" t="s">
        <v>463</v>
      </c>
      <c r="B99" s="2" t="s">
        <v>464</v>
      </c>
      <c r="C99" s="2" t="s">
        <v>41</v>
      </c>
      <c r="D99" s="3">
        <v>44585</v>
      </c>
      <c r="E99" s="2" t="s">
        <v>465</v>
      </c>
      <c r="F99" s="2" t="s">
        <v>466</v>
      </c>
      <c r="G99" s="10">
        <v>48115.07</v>
      </c>
      <c r="H99" t="str">
        <v>Sales</v>
      </c>
      <c r="I99" t="str">
        <v>Debra Morton</v>
      </c>
      <c r="J99" t="str">
        <v>gmoore@harris-lee.net</v>
      </c>
      <c r="K99" t="str">
        <f t="shared" si="5"/>
        <v>24-01-2022</v>
      </c>
      <c r="L99" s="19">
        <f t="shared" si="4"/>
        <v>48115.07</v>
      </c>
      <c r="M99" s="10" t="str">
        <v>Sales</v>
      </c>
      <c r="N99" s="2" t="str">
        <f t="shared" si="6"/>
        <v>Has Email</v>
      </c>
      <c r="O99" t="str">
        <f t="shared" si="7"/>
        <v>Debra Morton</v>
      </c>
    </row>
    <row r="100" spans="1:15" x14ac:dyDescent="0.4">
      <c r="A100" s="2" t="s">
        <v>467</v>
      </c>
      <c r="B100" s="2" t="s">
        <v>468</v>
      </c>
      <c r="C100" s="2" t="s">
        <v>13</v>
      </c>
      <c r="D100" s="3">
        <v>44818</v>
      </c>
      <c r="E100" s="2" t="s">
        <v>469</v>
      </c>
      <c r="F100" s="2" t="s">
        <v>470</v>
      </c>
      <c r="G100" s="10">
        <v>74776.44</v>
      </c>
      <c r="H100" t="str">
        <v>Hr</v>
      </c>
      <c r="I100" t="str">
        <v>Karen Graham</v>
      </c>
      <c r="J100" t="str">
        <v>kenneth10@yahoo.com</v>
      </c>
      <c r="K100" t="str">
        <f t="shared" si="5"/>
        <v>14-09-2022</v>
      </c>
      <c r="L100" s="19">
        <f t="shared" si="4"/>
        <v>74776.44</v>
      </c>
      <c r="M100" s="10" t="str">
        <v>HR</v>
      </c>
      <c r="N100" s="2" t="str">
        <f t="shared" si="6"/>
        <v>Has Email</v>
      </c>
      <c r="O100" t="str">
        <f t="shared" si="7"/>
        <v>Karen Graham</v>
      </c>
    </row>
    <row r="101" spans="1:15" x14ac:dyDescent="0.4">
      <c r="A101" s="2" t="s">
        <v>471</v>
      </c>
      <c r="B101" s="2" t="s">
        <v>472</v>
      </c>
      <c r="C101" s="2" t="s">
        <v>41</v>
      </c>
      <c r="D101" s="3">
        <v>44586</v>
      </c>
      <c r="E101" s="2" t="s">
        <v>473</v>
      </c>
      <c r="F101" s="2" t="s">
        <v>474</v>
      </c>
      <c r="G101" s="10">
        <v>107699.82</v>
      </c>
      <c r="H101" t="str">
        <v>Sales</v>
      </c>
      <c r="I101" t="str">
        <v>Debra Christian</v>
      </c>
      <c r="J101" t="str">
        <v>briansmith@gmail.com</v>
      </c>
      <c r="K101" t="str">
        <f t="shared" si="5"/>
        <v>25-01-2022</v>
      </c>
      <c r="L101" s="19">
        <f t="shared" si="4"/>
        <v>107699.82</v>
      </c>
      <c r="M101" s="10" t="str">
        <v>Sales</v>
      </c>
      <c r="N101" s="2" t="str">
        <f t="shared" si="6"/>
        <v>Has Email</v>
      </c>
      <c r="O101" t="str">
        <f t="shared" si="7"/>
        <v>Debra Christian</v>
      </c>
    </row>
    <row r="102" spans="1:15" x14ac:dyDescent="0.4">
      <c r="A102" s="2" t="s">
        <v>478</v>
      </c>
      <c r="B102" s="2" t="s">
        <v>479</v>
      </c>
      <c r="C102" s="2" t="s">
        <v>13</v>
      </c>
      <c r="D102" s="3">
        <v>45856</v>
      </c>
      <c r="E102" s="2" t="s">
        <v>480</v>
      </c>
      <c r="F102" s="2" t="s">
        <v>481</v>
      </c>
      <c r="G102" s="10">
        <v>111062.66</v>
      </c>
      <c r="H102" t="str">
        <v>Hr</v>
      </c>
      <c r="I102" t="str">
        <v>Daniel Salinas</v>
      </c>
      <c r="J102" t="str">
        <v>ylopez@lopez-williams.info</v>
      </c>
      <c r="K102" t="str">
        <f t="shared" si="5"/>
        <v>18-07-2025</v>
      </c>
      <c r="L102" s="19">
        <f t="shared" si="4"/>
        <v>111062.66</v>
      </c>
      <c r="M102" s="10" t="str">
        <v>HR</v>
      </c>
      <c r="N102" s="2" t="str">
        <f t="shared" si="6"/>
        <v>Has Email</v>
      </c>
      <c r="O102" t="str">
        <f t="shared" si="7"/>
        <v>Daniel Salinas</v>
      </c>
    </row>
    <row r="103" spans="1:15" x14ac:dyDescent="0.4">
      <c r="A103" s="2" t="s">
        <v>484</v>
      </c>
      <c r="B103" s="2" t="s">
        <v>485</v>
      </c>
      <c r="C103" s="2" t="s">
        <v>29</v>
      </c>
      <c r="D103" s="3">
        <v>44106</v>
      </c>
      <c r="E103" s="2" t="s">
        <v>486</v>
      </c>
      <c r="F103" s="2" t="s">
        <v>487</v>
      </c>
      <c r="G103" s="10">
        <v>41828.879999999997</v>
      </c>
      <c r="H103" t="str">
        <v>Finance</v>
      </c>
      <c r="I103" t="str">
        <v>Ricky Davis II</v>
      </c>
      <c r="J103" t="str">
        <v>averyshane@stanton.com</v>
      </c>
      <c r="K103" t="str">
        <f t="shared" si="5"/>
        <v>02-10-2020</v>
      </c>
      <c r="L103" s="19">
        <f t="shared" si="4"/>
        <v>41828.879999999997</v>
      </c>
      <c r="M103" s="10" t="str">
        <v>Finance</v>
      </c>
      <c r="N103" s="2" t="str">
        <f t="shared" si="6"/>
        <v>Has Email</v>
      </c>
      <c r="O103" t="str">
        <f t="shared" si="7"/>
        <v>Ricky Davis II</v>
      </c>
    </row>
    <row r="104" spans="1:15" x14ac:dyDescent="0.4">
      <c r="A104" s="2" t="s">
        <v>488</v>
      </c>
      <c r="B104" s="2" t="s">
        <v>489</v>
      </c>
      <c r="C104" s="2" t="s">
        <v>41</v>
      </c>
      <c r="D104" s="3">
        <v>42769</v>
      </c>
      <c r="E104" s="2" t="s">
        <v>490</v>
      </c>
      <c r="F104" s="2" t="s">
        <v>491</v>
      </c>
      <c r="G104" s="10">
        <v>69075.539999999994</v>
      </c>
      <c r="H104" t="str">
        <v>Sales</v>
      </c>
      <c r="I104" t="str">
        <v>Elizabeth Perkins</v>
      </c>
      <c r="J104" t="str">
        <v>rmiller@harris-carson.com</v>
      </c>
      <c r="K104" t="str">
        <f t="shared" si="5"/>
        <v>03-02-2017</v>
      </c>
      <c r="L104" s="19">
        <f t="shared" si="4"/>
        <v>69075.539999999994</v>
      </c>
      <c r="M104" s="10" t="str">
        <v>Sales</v>
      </c>
      <c r="N104" s="2" t="str">
        <f t="shared" si="6"/>
        <v>Has Email</v>
      </c>
      <c r="O104" t="str">
        <f t="shared" si="7"/>
        <v>Elizabeth Perkins</v>
      </c>
    </row>
    <row r="105" spans="1:15" x14ac:dyDescent="0.4">
      <c r="A105" s="2" t="s">
        <v>492</v>
      </c>
      <c r="B105" s="2" t="s">
        <v>493</v>
      </c>
      <c r="C105" s="2" t="s">
        <v>13</v>
      </c>
      <c r="D105" s="3">
        <v>44713</v>
      </c>
      <c r="E105" s="2" t="s">
        <v>494</v>
      </c>
      <c r="F105" s="2" t="s">
        <v>495</v>
      </c>
      <c r="G105" s="10">
        <v>89707.68</v>
      </c>
      <c r="H105" t="str">
        <v>Hr</v>
      </c>
      <c r="I105" t="str">
        <v>Joseph Coleman</v>
      </c>
      <c r="J105" t="str">
        <v>renee11@yahoo.com</v>
      </c>
      <c r="K105" t="str">
        <f t="shared" si="5"/>
        <v>01-06-2022</v>
      </c>
      <c r="L105" s="19">
        <f t="shared" si="4"/>
        <v>89707.68</v>
      </c>
      <c r="M105" s="10" t="str">
        <v>HR</v>
      </c>
      <c r="N105" s="2" t="str">
        <f t="shared" si="6"/>
        <v>Has Email</v>
      </c>
      <c r="O105" t="str">
        <f t="shared" si="7"/>
        <v>Joseph Coleman</v>
      </c>
    </row>
    <row r="106" spans="1:15" x14ac:dyDescent="0.4">
      <c r="A106" s="2" t="s">
        <v>496</v>
      </c>
      <c r="B106" s="2" t="s">
        <v>497</v>
      </c>
      <c r="C106" s="2" t="s">
        <v>13</v>
      </c>
      <c r="D106" s="3">
        <v>45446</v>
      </c>
      <c r="E106" s="2" t="s">
        <v>498</v>
      </c>
      <c r="F106" s="2" t="s">
        <v>499</v>
      </c>
      <c r="G106" s="10">
        <v>107103.45</v>
      </c>
      <c r="H106" t="str">
        <v>Hr</v>
      </c>
      <c r="I106" t="str">
        <v>Erin Warner</v>
      </c>
      <c r="J106" t="str">
        <v>melissa87@gmail.com</v>
      </c>
      <c r="K106" t="str">
        <f t="shared" si="5"/>
        <v>03-06-2024</v>
      </c>
      <c r="L106" s="19">
        <f t="shared" si="4"/>
        <v>107103.45</v>
      </c>
      <c r="M106" s="10" t="str">
        <v>HR</v>
      </c>
      <c r="N106" s="2" t="str">
        <f t="shared" si="6"/>
        <v>Has Email</v>
      </c>
      <c r="O106" t="str">
        <f t="shared" si="7"/>
        <v>Erin Warner</v>
      </c>
    </row>
    <row r="107" spans="1:15" x14ac:dyDescent="0.4">
      <c r="A107" s="2" t="s">
        <v>501</v>
      </c>
      <c r="B107" s="2" t="s">
        <v>502</v>
      </c>
      <c r="C107" s="2" t="s">
        <v>48</v>
      </c>
      <c r="D107" s="3">
        <v>45729</v>
      </c>
      <c r="E107" s="2" t="s">
        <v>503</v>
      </c>
      <c r="F107" s="2" t="s">
        <v>504</v>
      </c>
      <c r="G107" s="10">
        <v>69547.5</v>
      </c>
      <c r="H107" t="str">
        <v>Marketing</v>
      </c>
      <c r="I107" t="str">
        <v>Bryan Herrera</v>
      </c>
      <c r="J107" t="str">
        <v>hartcraig@dillon-beard.biz</v>
      </c>
      <c r="K107" t="str">
        <f t="shared" si="5"/>
        <v>13-03-2025</v>
      </c>
      <c r="L107" s="19">
        <f t="shared" si="4"/>
        <v>69547.5</v>
      </c>
      <c r="M107" s="10" t="str">
        <v>Marketing</v>
      </c>
      <c r="N107" s="2" t="str">
        <f t="shared" si="6"/>
        <v>Has Email</v>
      </c>
      <c r="O107" t="str">
        <f t="shared" si="7"/>
        <v>Bryan Herrera</v>
      </c>
    </row>
    <row r="108" spans="1:15" x14ac:dyDescent="0.4">
      <c r="A108" s="2" t="s">
        <v>506</v>
      </c>
      <c r="B108" s="2" t="s">
        <v>507</v>
      </c>
      <c r="C108" s="2" t="s">
        <v>29</v>
      </c>
      <c r="D108" s="3">
        <v>43112</v>
      </c>
      <c r="E108" s="2" t="s">
        <v>508</v>
      </c>
      <c r="F108" s="2" t="s">
        <v>509</v>
      </c>
      <c r="G108" s="10">
        <v>54488.75</v>
      </c>
      <c r="H108" t="str">
        <v>Finance</v>
      </c>
      <c r="I108" t="str">
        <v>Brian Lee</v>
      </c>
      <c r="J108" t="str">
        <v>fosternatasha@hotmail.com</v>
      </c>
      <c r="K108" t="str">
        <f t="shared" si="5"/>
        <v>12-01-2018</v>
      </c>
      <c r="L108" s="19">
        <f t="shared" si="4"/>
        <v>54488.75</v>
      </c>
      <c r="M108" s="10" t="str">
        <v>Finance</v>
      </c>
      <c r="N108" s="2" t="str">
        <f t="shared" si="6"/>
        <v>Has Email</v>
      </c>
      <c r="O108" t="str">
        <f t="shared" si="7"/>
        <v>Brian Lee</v>
      </c>
    </row>
    <row r="109" spans="1:15" x14ac:dyDescent="0.4">
      <c r="A109" s="2" t="s">
        <v>511</v>
      </c>
      <c r="B109" s="2" t="s">
        <v>512</v>
      </c>
      <c r="C109" s="2" t="s">
        <v>41</v>
      </c>
      <c r="D109" s="3">
        <v>44420</v>
      </c>
      <c r="E109" s="2" t="s">
        <v>513</v>
      </c>
      <c r="F109" s="2" t="s">
        <v>514</v>
      </c>
      <c r="G109" s="10">
        <v>83425.8</v>
      </c>
      <c r="H109" t="str">
        <v>Sales</v>
      </c>
      <c r="I109" t="str">
        <v>Katherine Salas</v>
      </c>
      <c r="J109" t="str">
        <v>uschroeder@yahoo.com</v>
      </c>
      <c r="K109" t="str">
        <f t="shared" si="5"/>
        <v>12-08-2021</v>
      </c>
      <c r="L109" s="19">
        <f t="shared" si="4"/>
        <v>83425.8</v>
      </c>
      <c r="M109" s="10" t="str">
        <v>Sales</v>
      </c>
      <c r="N109" s="2" t="str">
        <f t="shared" si="6"/>
        <v>Has Email</v>
      </c>
      <c r="O109" t="str">
        <f t="shared" si="7"/>
        <v>Katherine Salas</v>
      </c>
    </row>
    <row r="110" spans="1:15" x14ac:dyDescent="0.4">
      <c r="A110" s="2" t="s">
        <v>518</v>
      </c>
      <c r="B110" s="2" t="s">
        <v>519</v>
      </c>
      <c r="C110" s="2" t="s">
        <v>48</v>
      </c>
      <c r="D110" s="3">
        <v>45476</v>
      </c>
      <c r="E110" s="2" t="s">
        <v>520</v>
      </c>
      <c r="F110" s="2" t="s">
        <v>521</v>
      </c>
      <c r="G110" s="10">
        <v>67799.7</v>
      </c>
      <c r="H110" t="str">
        <v>Marketing</v>
      </c>
      <c r="I110" t="str">
        <v>Justin Torres</v>
      </c>
      <c r="J110" t="str">
        <v>jameswhitaker@wright.com</v>
      </c>
      <c r="K110" t="str">
        <f t="shared" si="5"/>
        <v>03-07-2024</v>
      </c>
      <c r="L110" s="19">
        <f t="shared" si="4"/>
        <v>67799.7</v>
      </c>
      <c r="M110" s="10" t="str">
        <v>Marketing</v>
      </c>
      <c r="N110" s="2" t="str">
        <f t="shared" si="6"/>
        <v>Has Email</v>
      </c>
      <c r="O110" t="str">
        <f t="shared" si="7"/>
        <v>Justin Torres</v>
      </c>
    </row>
    <row r="111" spans="1:15" x14ac:dyDescent="0.4">
      <c r="A111" s="2" t="s">
        <v>523</v>
      </c>
      <c r="B111" s="2" t="s">
        <v>524</v>
      </c>
      <c r="C111" s="2" t="s">
        <v>9</v>
      </c>
      <c r="D111" s="3">
        <v>42563</v>
      </c>
      <c r="E111" s="2" t="s">
        <v>525</v>
      </c>
      <c r="F111" s="2" t="s">
        <v>526</v>
      </c>
      <c r="G111" s="10">
        <v>28718.5</v>
      </c>
      <c r="H111" t="str">
        <v>Operations</v>
      </c>
      <c r="I111" t="str">
        <v>Jeremy Dalton</v>
      </c>
      <c r="J111" t="str">
        <v>susanwells@hotmail.com</v>
      </c>
      <c r="K111" t="str">
        <f t="shared" si="5"/>
        <v>12-07-2016</v>
      </c>
      <c r="L111" s="19">
        <f t="shared" si="4"/>
        <v>28718.5</v>
      </c>
      <c r="M111" s="10" t="str">
        <v>Operations</v>
      </c>
      <c r="N111" s="2" t="str">
        <f t="shared" si="6"/>
        <v>Has Email</v>
      </c>
      <c r="O111" t="str">
        <f t="shared" si="7"/>
        <v>Jeremy Dalton</v>
      </c>
    </row>
    <row r="112" spans="1:15" x14ac:dyDescent="0.4">
      <c r="A112" s="2" t="s">
        <v>528</v>
      </c>
      <c r="B112" s="2" t="s">
        <v>529</v>
      </c>
      <c r="C112" s="2" t="s">
        <v>29</v>
      </c>
      <c r="D112" s="3">
        <v>42554</v>
      </c>
      <c r="E112" s="2" t="s">
        <v>530</v>
      </c>
      <c r="F112" s="2" t="s">
        <v>531</v>
      </c>
      <c r="G112" s="10">
        <v>59570.31</v>
      </c>
      <c r="H112" t="str">
        <v>Finance</v>
      </c>
      <c r="I112" t="str">
        <v>Theresa Clark</v>
      </c>
      <c r="J112" t="str">
        <v>kwilliams@vincent.com</v>
      </c>
      <c r="K112" t="str">
        <f t="shared" si="5"/>
        <v>03-07-2016</v>
      </c>
      <c r="L112" s="19">
        <f t="shared" si="4"/>
        <v>59570.31</v>
      </c>
      <c r="M112" s="10" t="str">
        <v>Finance</v>
      </c>
      <c r="N112" s="2" t="str">
        <f t="shared" si="6"/>
        <v>Has Email</v>
      </c>
      <c r="O112" t="str">
        <f t="shared" si="7"/>
        <v>Theresa Clark</v>
      </c>
    </row>
    <row r="113" spans="1:15" x14ac:dyDescent="0.4">
      <c r="A113" s="2" t="s">
        <v>532</v>
      </c>
      <c r="B113" s="2" t="s">
        <v>533</v>
      </c>
      <c r="C113" s="2" t="s">
        <v>9</v>
      </c>
      <c r="D113" s="3">
        <v>43164</v>
      </c>
      <c r="E113" s="2" t="s">
        <v>534</v>
      </c>
      <c r="F113" s="2" t="s">
        <v>535</v>
      </c>
      <c r="G113" s="10">
        <v>61804.57</v>
      </c>
      <c r="H113" t="str">
        <v>Operations</v>
      </c>
      <c r="I113" t="str">
        <v>Matthew Moore</v>
      </c>
      <c r="J113" t="str">
        <v>denise80@smith.org</v>
      </c>
      <c r="K113" t="str">
        <f t="shared" si="5"/>
        <v>05-03-2018</v>
      </c>
      <c r="L113" s="19">
        <f t="shared" si="4"/>
        <v>61804.57</v>
      </c>
      <c r="M113" s="10" t="str">
        <v>Operations</v>
      </c>
      <c r="N113" s="2" t="str">
        <f t="shared" si="6"/>
        <v>Has Email</v>
      </c>
      <c r="O113" t="str">
        <f t="shared" si="7"/>
        <v>Matthew Moore</v>
      </c>
    </row>
    <row r="114" spans="1:15" x14ac:dyDescent="0.4">
      <c r="A114" s="2" t="s">
        <v>537</v>
      </c>
      <c r="B114" s="2" t="s">
        <v>538</v>
      </c>
      <c r="C114" s="2" t="s">
        <v>48</v>
      </c>
      <c r="D114" s="3">
        <v>45256</v>
      </c>
      <c r="E114" s="2" t="s">
        <v>539</v>
      </c>
      <c r="F114" s="2" t="s">
        <v>540</v>
      </c>
      <c r="G114" s="10">
        <v>99976.56</v>
      </c>
      <c r="H114" t="str">
        <v>Marketing</v>
      </c>
      <c r="I114" t="str">
        <v>Kirk Carter</v>
      </c>
      <c r="J114" t="str">
        <v>dyork@yahoo.com</v>
      </c>
      <c r="K114" t="str">
        <f t="shared" si="5"/>
        <v>26-11-2023</v>
      </c>
      <c r="L114" s="19">
        <f t="shared" si="4"/>
        <v>99976.56</v>
      </c>
      <c r="M114" s="10" t="str">
        <v>Marketing</v>
      </c>
      <c r="N114" s="2" t="str">
        <f t="shared" si="6"/>
        <v>Has Email</v>
      </c>
      <c r="O114" t="str">
        <f t="shared" si="7"/>
        <v>Kirk Carter</v>
      </c>
    </row>
    <row r="115" spans="1:15" x14ac:dyDescent="0.4">
      <c r="A115" s="2" t="s">
        <v>541</v>
      </c>
      <c r="B115" s="2" t="s">
        <v>542</v>
      </c>
      <c r="C115" s="2" t="s">
        <v>9</v>
      </c>
      <c r="D115" s="3">
        <v>45152</v>
      </c>
      <c r="E115" s="2" t="s">
        <v>543</v>
      </c>
      <c r="F115" s="2" t="s">
        <v>544</v>
      </c>
      <c r="G115" s="10">
        <v>78006.509999999995</v>
      </c>
      <c r="H115" t="str">
        <v>Operations</v>
      </c>
      <c r="I115" t="str">
        <v>Michael Bradshaw</v>
      </c>
      <c r="J115" t="str">
        <v>gabrielle71@yahoo.com</v>
      </c>
      <c r="K115" t="str">
        <f t="shared" si="5"/>
        <v>14-08-2023</v>
      </c>
      <c r="L115" s="19">
        <f t="shared" si="4"/>
        <v>78006.509999999995</v>
      </c>
      <c r="M115" s="10" t="str">
        <v>Operations</v>
      </c>
      <c r="N115" s="2" t="str">
        <f t="shared" si="6"/>
        <v>Has Email</v>
      </c>
      <c r="O115" t="str">
        <f t="shared" si="7"/>
        <v>Michael Bradshaw</v>
      </c>
    </row>
    <row r="116" spans="1:15" x14ac:dyDescent="0.4">
      <c r="A116" s="2" t="s">
        <v>547</v>
      </c>
      <c r="B116" s="2" t="s">
        <v>548</v>
      </c>
      <c r="C116" s="2" t="s">
        <v>41</v>
      </c>
      <c r="D116" s="3">
        <v>43181</v>
      </c>
      <c r="E116" s="2" t="s">
        <v>549</v>
      </c>
      <c r="F116" s="2" t="s">
        <v>550</v>
      </c>
      <c r="G116" s="10">
        <v>112090.91</v>
      </c>
      <c r="H116" t="str">
        <v>Sales</v>
      </c>
      <c r="I116" t="str">
        <v>Susan Serrano</v>
      </c>
      <c r="J116" t="str">
        <v>jordan66@yahoo.com</v>
      </c>
      <c r="K116" t="str">
        <f t="shared" si="5"/>
        <v>22-03-2018</v>
      </c>
      <c r="L116" s="19">
        <f t="shared" si="4"/>
        <v>112090.91</v>
      </c>
      <c r="M116" s="10" t="str">
        <v>Sales</v>
      </c>
      <c r="N116" s="2" t="str">
        <f t="shared" si="6"/>
        <v>Has Email</v>
      </c>
      <c r="O116" t="str">
        <f t="shared" si="7"/>
        <v>Susan Serrano</v>
      </c>
    </row>
    <row r="117" spans="1:15" x14ac:dyDescent="0.4">
      <c r="A117" s="2" t="s">
        <v>551</v>
      </c>
      <c r="B117" s="2" t="s">
        <v>552</v>
      </c>
      <c r="C117" s="2" t="s">
        <v>48</v>
      </c>
      <c r="D117" s="3">
        <v>44350</v>
      </c>
      <c r="E117" s="2" t="s">
        <v>553</v>
      </c>
      <c r="F117" s="2" t="s">
        <v>554</v>
      </c>
      <c r="G117" s="10">
        <v>116931.17</v>
      </c>
      <c r="H117" t="str">
        <v>Marketing</v>
      </c>
      <c r="I117" t="str">
        <v>Christopher Parker</v>
      </c>
      <c r="J117" t="str">
        <v>matthewreeves@nichols.com</v>
      </c>
      <c r="K117" t="str">
        <f t="shared" si="5"/>
        <v>03-06-2021</v>
      </c>
      <c r="L117" s="19">
        <f t="shared" si="4"/>
        <v>116931.17</v>
      </c>
      <c r="M117" s="10" t="str">
        <v>Marketing</v>
      </c>
      <c r="N117" s="2" t="str">
        <f t="shared" si="6"/>
        <v>Has Email</v>
      </c>
      <c r="O117" t="str">
        <f t="shared" si="7"/>
        <v>Christopher Parker</v>
      </c>
    </row>
    <row r="118" spans="1:15" x14ac:dyDescent="0.4">
      <c r="A118" s="2" t="s">
        <v>556</v>
      </c>
      <c r="B118" s="2" t="s">
        <v>557</v>
      </c>
      <c r="C118" s="2" t="s">
        <v>29</v>
      </c>
      <c r="D118" s="3">
        <v>43322</v>
      </c>
      <c r="E118" s="2" t="s">
        <v>558</v>
      </c>
      <c r="F118" s="2" t="s">
        <v>559</v>
      </c>
      <c r="G118" s="10">
        <v>54410.28</v>
      </c>
      <c r="H118" t="str">
        <v>Finance</v>
      </c>
      <c r="I118" t="str">
        <v>Michael Lyons</v>
      </c>
      <c r="J118" t="str">
        <v>ruizjoyce@hotmail.com</v>
      </c>
      <c r="K118" t="str">
        <f t="shared" si="5"/>
        <v>10-08-2018</v>
      </c>
      <c r="L118" s="19">
        <f t="shared" si="4"/>
        <v>54410.28</v>
      </c>
      <c r="M118" s="10" t="str">
        <v>Finance</v>
      </c>
      <c r="N118" s="2" t="str">
        <f t="shared" si="6"/>
        <v>Has Email</v>
      </c>
      <c r="O118" t="str">
        <f t="shared" si="7"/>
        <v>Michael Lyons</v>
      </c>
    </row>
    <row r="119" spans="1:15" x14ac:dyDescent="0.4">
      <c r="A119" s="2" t="s">
        <v>560</v>
      </c>
      <c r="B119" s="2" t="s">
        <v>561</v>
      </c>
      <c r="C119" s="2" t="s">
        <v>29</v>
      </c>
      <c r="D119" s="3">
        <v>44754</v>
      </c>
      <c r="E119" s="2" t="s">
        <v>562</v>
      </c>
      <c r="F119" s="2" t="s">
        <v>563</v>
      </c>
      <c r="G119" s="10">
        <v>86131.86</v>
      </c>
      <c r="H119" t="str">
        <v>Finance</v>
      </c>
      <c r="I119" t="str">
        <v>Kathryn Snyder</v>
      </c>
      <c r="J119" t="str">
        <v>destiny35@garner.biz</v>
      </c>
      <c r="K119" t="str">
        <f t="shared" si="5"/>
        <v>12-07-2022</v>
      </c>
      <c r="L119" s="19">
        <f t="shared" si="4"/>
        <v>86131.86</v>
      </c>
      <c r="M119" s="10" t="str">
        <v>Finance</v>
      </c>
      <c r="N119" s="2" t="str">
        <f t="shared" si="6"/>
        <v>Has Email</v>
      </c>
      <c r="O119" t="str">
        <f t="shared" si="7"/>
        <v>Kathryn Snyder</v>
      </c>
    </row>
    <row r="120" spans="1:15" x14ac:dyDescent="0.4">
      <c r="A120" s="2" t="s">
        <v>565</v>
      </c>
      <c r="B120" s="2" t="s">
        <v>566</v>
      </c>
      <c r="C120" s="2" t="s">
        <v>24</v>
      </c>
      <c r="D120" s="3">
        <v>44403</v>
      </c>
      <c r="E120" s="2" t="s">
        <v>567</v>
      </c>
      <c r="F120" s="2" t="s">
        <v>568</v>
      </c>
      <c r="G120" s="10">
        <v>86372.36</v>
      </c>
      <c r="H120" t="str">
        <v>It</v>
      </c>
      <c r="I120" t="str">
        <v>David Davis</v>
      </c>
      <c r="J120" t="str">
        <v>delacruzbrandy@hotmail.com</v>
      </c>
      <c r="K120" t="str">
        <f t="shared" si="5"/>
        <v>26-07-2021</v>
      </c>
      <c r="L120" s="19">
        <f t="shared" si="4"/>
        <v>86372.36</v>
      </c>
      <c r="M120" s="10" t="str">
        <v>IT</v>
      </c>
      <c r="N120" s="2" t="str">
        <f t="shared" si="6"/>
        <v>Has Email</v>
      </c>
      <c r="O120" t="str">
        <f t="shared" si="7"/>
        <v>David Davis</v>
      </c>
    </row>
    <row r="121" spans="1:15" x14ac:dyDescent="0.4">
      <c r="A121" s="2" t="s">
        <v>569</v>
      </c>
      <c r="B121" s="2" t="s">
        <v>570</v>
      </c>
      <c r="C121" s="2" t="s">
        <v>41</v>
      </c>
      <c r="D121" s="3">
        <v>45620</v>
      </c>
      <c r="E121" s="2" t="s">
        <v>571</v>
      </c>
      <c r="F121" s="2" t="s">
        <v>572</v>
      </c>
      <c r="G121" s="10">
        <v>115361.08</v>
      </c>
      <c r="H121" t="str">
        <v>Sales</v>
      </c>
      <c r="I121" t="str">
        <v>Andrew Avila</v>
      </c>
      <c r="J121" t="str">
        <v>robert97@stewart.com</v>
      </c>
      <c r="K121" t="str">
        <f t="shared" si="5"/>
        <v>24-11-2024</v>
      </c>
      <c r="L121" s="19">
        <f t="shared" si="4"/>
        <v>115361.08</v>
      </c>
      <c r="M121" s="10" t="str">
        <v>Sales</v>
      </c>
      <c r="N121" s="2" t="str">
        <f t="shared" si="6"/>
        <v>Has Email</v>
      </c>
      <c r="O121" t="str">
        <f t="shared" si="7"/>
        <v>Andrew Avila</v>
      </c>
    </row>
    <row r="122" spans="1:15" x14ac:dyDescent="0.4">
      <c r="A122" s="2" t="s">
        <v>573</v>
      </c>
      <c r="B122" s="2" t="s">
        <v>574</v>
      </c>
      <c r="C122" s="2" t="s">
        <v>29</v>
      </c>
      <c r="D122" s="3">
        <v>45356</v>
      </c>
      <c r="E122" s="2" t="s">
        <v>575</v>
      </c>
      <c r="F122" s="2" t="s">
        <v>576</v>
      </c>
      <c r="G122" s="10">
        <v>115028.49</v>
      </c>
      <c r="H122" t="str">
        <v>Finance</v>
      </c>
      <c r="I122" t="str">
        <v>Matthew Moon</v>
      </c>
      <c r="J122" t="str">
        <v>lcook@walters-smith.com</v>
      </c>
      <c r="K122" t="str">
        <f t="shared" si="5"/>
        <v>05-03-2024</v>
      </c>
      <c r="L122" s="19">
        <f t="shared" si="4"/>
        <v>115028.49</v>
      </c>
      <c r="M122" s="10" t="str">
        <v>Finance</v>
      </c>
      <c r="N122" s="2" t="str">
        <f t="shared" si="6"/>
        <v>Has Email</v>
      </c>
      <c r="O122" t="str">
        <f t="shared" si="7"/>
        <v>Matthew Moon</v>
      </c>
    </row>
    <row r="123" spans="1:15" x14ac:dyDescent="0.4">
      <c r="A123" s="2" t="s">
        <v>578</v>
      </c>
      <c r="B123" s="2" t="s">
        <v>579</v>
      </c>
      <c r="C123" s="2" t="s">
        <v>29</v>
      </c>
      <c r="D123" s="3">
        <v>44175</v>
      </c>
      <c r="E123" s="2" t="s">
        <v>580</v>
      </c>
      <c r="F123" s="2" t="s">
        <v>581</v>
      </c>
      <c r="G123" s="10">
        <v>39719.79</v>
      </c>
      <c r="H123" t="str">
        <v>Finance</v>
      </c>
      <c r="I123" t="str">
        <v>Brandon Bailey MD</v>
      </c>
      <c r="J123" t="str">
        <v>ysanford@gmail.com</v>
      </c>
      <c r="K123" t="str">
        <f t="shared" si="5"/>
        <v>10-12-2020</v>
      </c>
      <c r="L123" s="19">
        <f t="shared" si="4"/>
        <v>39719.79</v>
      </c>
      <c r="M123" s="10" t="str">
        <v>Finance</v>
      </c>
      <c r="N123" s="2" t="str">
        <f t="shared" si="6"/>
        <v>Has Email</v>
      </c>
      <c r="O123" t="str">
        <f t="shared" si="7"/>
        <v>Brandon Bailey MD</v>
      </c>
    </row>
    <row r="124" spans="1:15" x14ac:dyDescent="0.4">
      <c r="A124" s="2" t="s">
        <v>585</v>
      </c>
      <c r="B124" s="2" t="s">
        <v>586</v>
      </c>
      <c r="C124" s="2" t="s">
        <v>13</v>
      </c>
      <c r="D124" s="3">
        <v>44224</v>
      </c>
      <c r="E124" s="2" t="s">
        <v>587</v>
      </c>
      <c r="F124" s="2" t="s">
        <v>588</v>
      </c>
      <c r="G124" s="10">
        <v>117110.92</v>
      </c>
      <c r="H124" t="str">
        <v>Hr</v>
      </c>
      <c r="I124" t="str">
        <v>Olivia Harris</v>
      </c>
      <c r="J124" t="str">
        <v>richardsondebra@brooks.com</v>
      </c>
      <c r="K124" t="str">
        <f t="shared" si="5"/>
        <v>28-01-2021</v>
      </c>
      <c r="L124" s="19">
        <f t="shared" si="4"/>
        <v>117110.92</v>
      </c>
      <c r="M124" s="10" t="str">
        <v>HR</v>
      </c>
      <c r="N124" s="2" t="str">
        <f t="shared" si="6"/>
        <v>Has Email</v>
      </c>
      <c r="O124" t="str">
        <f t="shared" si="7"/>
        <v>Olivia Harris</v>
      </c>
    </row>
    <row r="125" spans="1:15" x14ac:dyDescent="0.4">
      <c r="A125" s="2" t="s">
        <v>589</v>
      </c>
      <c r="B125" s="2" t="s">
        <v>590</v>
      </c>
      <c r="C125" s="2" t="s">
        <v>24</v>
      </c>
      <c r="D125" s="3">
        <v>42478</v>
      </c>
      <c r="E125" s="2" t="s">
        <v>591</v>
      </c>
      <c r="F125" s="2" t="s">
        <v>592</v>
      </c>
      <c r="G125" s="10">
        <v>96477.16</v>
      </c>
      <c r="H125" t="str">
        <v>It</v>
      </c>
      <c r="I125" t="str">
        <v>Tanya Kim</v>
      </c>
      <c r="J125" t="str">
        <v>stanleydesiree@williams.biz</v>
      </c>
      <c r="K125" t="str">
        <f t="shared" si="5"/>
        <v>18-04-2016</v>
      </c>
      <c r="L125" s="19">
        <f t="shared" si="4"/>
        <v>96477.16</v>
      </c>
      <c r="M125" s="10" t="str">
        <v>IT</v>
      </c>
      <c r="N125" s="2" t="str">
        <f t="shared" si="6"/>
        <v>Has Email</v>
      </c>
      <c r="O125" t="str">
        <f t="shared" si="7"/>
        <v>Tanya Kim</v>
      </c>
    </row>
    <row r="126" spans="1:15" x14ac:dyDescent="0.4">
      <c r="A126" s="2" t="s">
        <v>594</v>
      </c>
      <c r="B126" s="2" t="s">
        <v>595</v>
      </c>
      <c r="C126" s="2" t="s">
        <v>41</v>
      </c>
      <c r="D126" s="3">
        <v>43962</v>
      </c>
      <c r="E126" s="2" t="s">
        <v>596</v>
      </c>
      <c r="F126" s="2" t="s">
        <v>597</v>
      </c>
      <c r="G126" s="10">
        <v>54399.45</v>
      </c>
      <c r="H126" t="str">
        <v>Sales</v>
      </c>
      <c r="I126" t="str">
        <v>Cynthia Moore</v>
      </c>
      <c r="J126" t="str">
        <v>heathermccoy@fisher-garcia.net</v>
      </c>
      <c r="K126" t="str">
        <f t="shared" si="5"/>
        <v>11-05-2020</v>
      </c>
      <c r="L126" s="19">
        <f t="shared" si="4"/>
        <v>54399.45</v>
      </c>
      <c r="M126" s="10" t="str">
        <v>Sales</v>
      </c>
      <c r="N126" s="2" t="str">
        <f t="shared" si="6"/>
        <v>Has Email</v>
      </c>
      <c r="O126" t="str">
        <f t="shared" si="7"/>
        <v>Cynthia Moore</v>
      </c>
    </row>
    <row r="127" spans="1:15" x14ac:dyDescent="0.4">
      <c r="A127" s="2" t="s">
        <v>599</v>
      </c>
      <c r="B127" s="2" t="s">
        <v>600</v>
      </c>
      <c r="C127" s="2" t="s">
        <v>9</v>
      </c>
      <c r="D127" s="3">
        <v>43726</v>
      </c>
      <c r="E127" s="2" t="s">
        <v>601</v>
      </c>
      <c r="F127" s="2" t="s">
        <v>602</v>
      </c>
      <c r="G127" s="10">
        <v>68859.600000000006</v>
      </c>
      <c r="H127" t="str">
        <v>Operations</v>
      </c>
      <c r="I127" t="str">
        <v>Kathleen Moran</v>
      </c>
      <c r="J127" t="str">
        <v>daniel17@lynch.net</v>
      </c>
      <c r="K127" t="str">
        <f t="shared" si="5"/>
        <v>18-09-2019</v>
      </c>
      <c r="L127" s="19">
        <f t="shared" si="4"/>
        <v>68859.600000000006</v>
      </c>
      <c r="M127" s="10" t="str">
        <v>Operations</v>
      </c>
      <c r="N127" s="2" t="str">
        <f t="shared" si="6"/>
        <v>Has Email</v>
      </c>
      <c r="O127" t="str">
        <f t="shared" si="7"/>
        <v>Kathleen Moran</v>
      </c>
    </row>
    <row r="128" spans="1:15" x14ac:dyDescent="0.4">
      <c r="A128" s="2" t="s">
        <v>603</v>
      </c>
      <c r="B128" s="2" t="s">
        <v>604</v>
      </c>
      <c r="C128" s="2" t="s">
        <v>48</v>
      </c>
      <c r="D128" s="3">
        <v>42632</v>
      </c>
      <c r="E128" s="2" t="s">
        <v>605</v>
      </c>
      <c r="F128" s="2" t="s">
        <v>606</v>
      </c>
      <c r="G128" s="10">
        <v>98921.78</v>
      </c>
      <c r="H128" t="str">
        <v>Marketing</v>
      </c>
      <c r="I128" t="str">
        <v>Denise Davenport</v>
      </c>
      <c r="J128" t="str">
        <v>jade42@kelley.info</v>
      </c>
      <c r="K128" t="str">
        <f t="shared" si="5"/>
        <v>19-09-2016</v>
      </c>
      <c r="L128" s="19">
        <f t="shared" si="4"/>
        <v>98921.78</v>
      </c>
      <c r="M128" s="10" t="str">
        <v>Marketing</v>
      </c>
      <c r="N128" s="2" t="str">
        <f t="shared" si="6"/>
        <v>Has Email</v>
      </c>
      <c r="O128" t="str">
        <f t="shared" si="7"/>
        <v>Denise Davenport</v>
      </c>
    </row>
    <row r="129" spans="1:15" x14ac:dyDescent="0.4">
      <c r="A129" s="2" t="s">
        <v>607</v>
      </c>
      <c r="B129" s="2" t="s">
        <v>608</v>
      </c>
      <c r="C129" s="2" t="s">
        <v>9</v>
      </c>
      <c r="D129" s="3">
        <v>45570</v>
      </c>
      <c r="E129" s="2" t="s">
        <v>609</v>
      </c>
      <c r="F129" s="2" t="s">
        <v>610</v>
      </c>
      <c r="G129" s="10">
        <v>85912.01</v>
      </c>
      <c r="H129" t="str">
        <v>Operations</v>
      </c>
      <c r="I129" t="str">
        <v>Timothy Romero</v>
      </c>
      <c r="J129" t="str">
        <v>michael56@wilson.com</v>
      </c>
      <c r="K129" t="str">
        <f t="shared" si="5"/>
        <v>05-10-2024</v>
      </c>
      <c r="L129" s="19">
        <f t="shared" si="4"/>
        <v>85912.01</v>
      </c>
      <c r="M129" s="10" t="str">
        <v>Operations</v>
      </c>
      <c r="N129" s="2" t="str">
        <f t="shared" si="6"/>
        <v>Has Email</v>
      </c>
      <c r="O129" t="str">
        <f t="shared" si="7"/>
        <v>Timothy Romero</v>
      </c>
    </row>
    <row r="130" spans="1:15" x14ac:dyDescent="0.4">
      <c r="A130" s="2" t="s">
        <v>615</v>
      </c>
      <c r="B130" s="2" t="s">
        <v>616</v>
      </c>
      <c r="C130" s="2" t="s">
        <v>29</v>
      </c>
      <c r="D130" s="3">
        <v>43498</v>
      </c>
      <c r="E130" s="2" t="s">
        <v>617</v>
      </c>
      <c r="F130" s="2" t="s">
        <v>618</v>
      </c>
      <c r="G130" s="10">
        <v>102586.81</v>
      </c>
      <c r="H130" t="str">
        <v>Finance</v>
      </c>
      <c r="I130" t="str">
        <v>Patrick Thornton</v>
      </c>
      <c r="J130" t="str">
        <v>timothyfreeman@alexander-brown.com</v>
      </c>
      <c r="K130" t="str">
        <f t="shared" si="5"/>
        <v>02-02-2019</v>
      </c>
      <c r="L130" s="19">
        <f t="shared" ref="L130:L193" si="8">IF(ISBLANK(G130),AVERAGE($G$2:$G$251),G130)</f>
        <v>102586.81</v>
      </c>
      <c r="M130" s="10" t="str">
        <v>Finance</v>
      </c>
      <c r="N130" s="2" t="str">
        <f t="shared" si="6"/>
        <v>Has Email</v>
      </c>
      <c r="O130" t="str">
        <f t="shared" si="7"/>
        <v>Patrick Thornton</v>
      </c>
    </row>
    <row r="131" spans="1:15" x14ac:dyDescent="0.4">
      <c r="A131" s="2" t="s">
        <v>619</v>
      </c>
      <c r="B131" s="2" t="s">
        <v>620</v>
      </c>
      <c r="C131" s="2" t="s">
        <v>13</v>
      </c>
      <c r="D131" s="3">
        <v>42430</v>
      </c>
      <c r="E131" s="2" t="s">
        <v>621</v>
      </c>
      <c r="F131" s="2" t="s">
        <v>622</v>
      </c>
      <c r="G131" s="10">
        <v>113394.83</v>
      </c>
      <c r="H131" t="str">
        <v>Hr</v>
      </c>
      <c r="I131" t="str">
        <v>Jasmin Alvarado</v>
      </c>
      <c r="J131" t="str">
        <v>tiffanysantiago@stone-watts.org</v>
      </c>
      <c r="K131" t="str">
        <f t="shared" ref="K131:K194" si="9">TEXT(D131,"dd-mm-yyyy")</f>
        <v>01-03-2016</v>
      </c>
      <c r="L131" s="19">
        <f t="shared" si="8"/>
        <v>113394.83</v>
      </c>
      <c r="M131" s="10" t="str">
        <v>HR</v>
      </c>
      <c r="N131" s="2" t="str">
        <f t="shared" ref="N131:N194" si="10">IF(ISBLANK(E131),"No Email","Has Email")</f>
        <v>Has Email</v>
      </c>
      <c r="O131" t="str">
        <f t="shared" ref="O131:O194" si="11">CLEAN(B131)</f>
        <v>Jasmin Alvarado</v>
      </c>
    </row>
    <row r="132" spans="1:15" x14ac:dyDescent="0.4">
      <c r="A132" s="2" t="s">
        <v>623</v>
      </c>
      <c r="B132" s="2" t="s">
        <v>624</v>
      </c>
      <c r="C132" s="2" t="s">
        <v>13</v>
      </c>
      <c r="D132" s="3">
        <v>45053</v>
      </c>
      <c r="E132" s="2" t="s">
        <v>625</v>
      </c>
      <c r="F132" s="2" t="s">
        <v>626</v>
      </c>
      <c r="G132" s="10">
        <v>30059.4</v>
      </c>
      <c r="H132" t="str">
        <v>Hr</v>
      </c>
      <c r="I132" t="str">
        <v>Veronica Simpson</v>
      </c>
      <c r="J132" t="str">
        <v>pstanley@reed-rhodes.biz</v>
      </c>
      <c r="K132" t="str">
        <f t="shared" si="9"/>
        <v>07-05-2023</v>
      </c>
      <c r="L132" s="19">
        <f t="shared" si="8"/>
        <v>30059.4</v>
      </c>
      <c r="M132" s="10" t="str">
        <v>HR</v>
      </c>
      <c r="N132" s="2" t="str">
        <f t="shared" si="10"/>
        <v>Has Email</v>
      </c>
      <c r="O132" t="str">
        <f t="shared" si="11"/>
        <v>Veronica Simpson</v>
      </c>
    </row>
    <row r="133" spans="1:15" x14ac:dyDescent="0.4">
      <c r="A133" s="2" t="s">
        <v>630</v>
      </c>
      <c r="B133" s="2" t="s">
        <v>631</v>
      </c>
      <c r="C133" s="2" t="s">
        <v>48</v>
      </c>
      <c r="D133" s="3">
        <v>44862</v>
      </c>
      <c r="E133" s="2" t="s">
        <v>632</v>
      </c>
      <c r="F133" s="2" t="s">
        <v>633</v>
      </c>
      <c r="G133" s="10">
        <v>28638.799999999999</v>
      </c>
      <c r="H133" t="str">
        <v>Marketing</v>
      </c>
      <c r="I133" t="str">
        <v>Marie Christian</v>
      </c>
      <c r="J133" t="str">
        <v>hawkinsaaron@gmail.com</v>
      </c>
      <c r="K133" t="str">
        <f t="shared" si="9"/>
        <v>28-10-2022</v>
      </c>
      <c r="L133" s="19">
        <f t="shared" si="8"/>
        <v>28638.799999999999</v>
      </c>
      <c r="M133" s="10" t="str">
        <v>Marketing</v>
      </c>
      <c r="N133" s="2" t="str">
        <f t="shared" si="10"/>
        <v>Has Email</v>
      </c>
      <c r="O133" t="str">
        <f t="shared" si="11"/>
        <v>Marie Christian</v>
      </c>
    </row>
    <row r="134" spans="1:15" x14ac:dyDescent="0.4">
      <c r="A134" s="2" t="s">
        <v>635</v>
      </c>
      <c r="B134" s="2" t="s">
        <v>636</v>
      </c>
      <c r="C134" s="2" t="s">
        <v>13</v>
      </c>
      <c r="D134" s="3">
        <v>45243</v>
      </c>
      <c r="E134" s="2" t="s">
        <v>637</v>
      </c>
      <c r="F134" s="2" t="s">
        <v>638</v>
      </c>
      <c r="G134" s="10">
        <v>97089.91</v>
      </c>
      <c r="H134" t="str">
        <v>Hr</v>
      </c>
      <c r="I134" t="str">
        <v>Nathan Malone</v>
      </c>
      <c r="J134" t="str">
        <v>velasquezmegan@yahoo.com</v>
      </c>
      <c r="K134" t="str">
        <f t="shared" si="9"/>
        <v>13-11-2023</v>
      </c>
      <c r="L134" s="19">
        <f t="shared" si="8"/>
        <v>97089.91</v>
      </c>
      <c r="M134" s="10" t="str">
        <v>HR</v>
      </c>
      <c r="N134" s="2" t="str">
        <f t="shared" si="10"/>
        <v>Has Email</v>
      </c>
      <c r="O134" t="str">
        <f t="shared" si="11"/>
        <v>Nathan Malone</v>
      </c>
    </row>
    <row r="135" spans="1:15" x14ac:dyDescent="0.4">
      <c r="A135" s="2" t="s">
        <v>640</v>
      </c>
      <c r="B135" s="2" t="s">
        <v>641</v>
      </c>
      <c r="C135" s="2" t="s">
        <v>13</v>
      </c>
      <c r="D135" s="3">
        <v>43601</v>
      </c>
      <c r="E135" s="2" t="s">
        <v>642</v>
      </c>
      <c r="F135" s="2" t="s">
        <v>643</v>
      </c>
      <c r="G135" s="10">
        <v>77136.399999999994</v>
      </c>
      <c r="H135" t="str">
        <v>Hr</v>
      </c>
      <c r="I135" t="str">
        <v>Shelia Wallace</v>
      </c>
      <c r="J135" t="str">
        <v>ylewis@love.biz</v>
      </c>
      <c r="K135" t="str">
        <f t="shared" si="9"/>
        <v>16-05-2019</v>
      </c>
      <c r="L135" s="19">
        <f t="shared" si="8"/>
        <v>77136.399999999994</v>
      </c>
      <c r="M135" s="10" t="str">
        <v>HR</v>
      </c>
      <c r="N135" s="2" t="str">
        <f t="shared" si="10"/>
        <v>Has Email</v>
      </c>
      <c r="O135" t="str">
        <f t="shared" si="11"/>
        <v>Shelia Wallace</v>
      </c>
    </row>
    <row r="136" spans="1:15" x14ac:dyDescent="0.4">
      <c r="A136" s="2" t="s">
        <v>644</v>
      </c>
      <c r="B136" s="2" t="s">
        <v>645</v>
      </c>
      <c r="C136" s="2" t="s">
        <v>13</v>
      </c>
      <c r="D136" s="3">
        <v>45798</v>
      </c>
      <c r="E136" s="2" t="s">
        <v>646</v>
      </c>
      <c r="F136" s="2" t="s">
        <v>647</v>
      </c>
      <c r="G136" s="10">
        <v>35562.75</v>
      </c>
      <c r="H136" t="str">
        <v>Hr</v>
      </c>
      <c r="I136" t="str">
        <v>Stephanie Williams</v>
      </c>
      <c r="J136" t="str">
        <v>bartonshannon@lawrence.com</v>
      </c>
      <c r="K136" t="str">
        <f t="shared" si="9"/>
        <v>21-05-2025</v>
      </c>
      <c r="L136" s="19">
        <f t="shared" si="8"/>
        <v>35562.75</v>
      </c>
      <c r="M136" s="10" t="str">
        <v>HR</v>
      </c>
      <c r="N136" s="2" t="str">
        <f t="shared" si="10"/>
        <v>Has Email</v>
      </c>
      <c r="O136" t="str">
        <f t="shared" si="11"/>
        <v>Stephanie Williams</v>
      </c>
    </row>
    <row r="137" spans="1:15" x14ac:dyDescent="0.4">
      <c r="A137" s="2" t="s">
        <v>648</v>
      </c>
      <c r="B137" s="2" t="s">
        <v>649</v>
      </c>
      <c r="C137" s="2" t="s">
        <v>9</v>
      </c>
      <c r="D137" s="3">
        <v>45285</v>
      </c>
      <c r="E137" s="2" t="s">
        <v>650</v>
      </c>
      <c r="F137" s="2" t="s">
        <v>651</v>
      </c>
      <c r="G137" s="10">
        <v>29536.2</v>
      </c>
      <c r="H137" t="str">
        <v>Operations</v>
      </c>
      <c r="I137" t="str">
        <v>Joseph Knight</v>
      </c>
      <c r="J137" t="str">
        <v>hughescaroline@gordon-cruz.org</v>
      </c>
      <c r="K137" t="str">
        <f t="shared" si="9"/>
        <v>25-12-2023</v>
      </c>
      <c r="L137" s="19">
        <f t="shared" si="8"/>
        <v>29536.2</v>
      </c>
      <c r="M137" s="10" t="str">
        <v>Operations</v>
      </c>
      <c r="N137" s="2" t="str">
        <f t="shared" si="10"/>
        <v>Has Email</v>
      </c>
      <c r="O137" t="str">
        <f t="shared" si="11"/>
        <v>Joseph Knight</v>
      </c>
    </row>
    <row r="138" spans="1:15" x14ac:dyDescent="0.4">
      <c r="A138" s="2" t="s">
        <v>652</v>
      </c>
      <c r="B138" s="2" t="s">
        <v>653</v>
      </c>
      <c r="C138" s="2" t="s">
        <v>24</v>
      </c>
      <c r="D138" s="3">
        <v>45578</v>
      </c>
      <c r="E138" s="2" t="s">
        <v>654</v>
      </c>
      <c r="F138" s="2" t="s">
        <v>655</v>
      </c>
      <c r="G138" s="10">
        <v>85700.41</v>
      </c>
      <c r="H138" t="str">
        <v>It</v>
      </c>
      <c r="I138" t="str">
        <v>Carolyn Miller</v>
      </c>
      <c r="J138" t="str">
        <v>raymond54@ballard-taylor.org</v>
      </c>
      <c r="K138" t="str">
        <f t="shared" si="9"/>
        <v>13-10-2024</v>
      </c>
      <c r="L138" s="19">
        <f t="shared" si="8"/>
        <v>85700.41</v>
      </c>
      <c r="M138" s="10" t="str">
        <v>IT</v>
      </c>
      <c r="N138" s="2" t="str">
        <f t="shared" si="10"/>
        <v>Has Email</v>
      </c>
      <c r="O138" t="str">
        <f t="shared" si="11"/>
        <v>Carolyn Miller</v>
      </c>
    </row>
    <row r="139" spans="1:15" x14ac:dyDescent="0.4">
      <c r="A139" s="2" t="s">
        <v>656</v>
      </c>
      <c r="B139" s="2" t="s">
        <v>657</v>
      </c>
      <c r="C139" s="2" t="s">
        <v>13</v>
      </c>
      <c r="D139" s="3">
        <v>44654</v>
      </c>
      <c r="E139" s="2" t="s">
        <v>658</v>
      </c>
      <c r="F139" s="2" t="s">
        <v>659</v>
      </c>
      <c r="G139" s="10">
        <v>30966.68</v>
      </c>
      <c r="H139" t="str">
        <v>Hr</v>
      </c>
      <c r="I139" t="str">
        <v>Lisa Allen</v>
      </c>
      <c r="J139" t="str">
        <v>jennifer83@gmail.com</v>
      </c>
      <c r="K139" t="str">
        <f t="shared" si="9"/>
        <v>03-04-2022</v>
      </c>
      <c r="L139" s="19">
        <f t="shared" si="8"/>
        <v>30966.68</v>
      </c>
      <c r="M139" s="10" t="str">
        <v>HR</v>
      </c>
      <c r="N139" s="2" t="str">
        <f t="shared" si="10"/>
        <v>Has Email</v>
      </c>
      <c r="O139" t="str">
        <f t="shared" si="11"/>
        <v>Lisa Allen</v>
      </c>
    </row>
    <row r="140" spans="1:15" x14ac:dyDescent="0.4">
      <c r="A140" s="2" t="s">
        <v>661</v>
      </c>
      <c r="B140" s="2" t="s">
        <v>662</v>
      </c>
      <c r="C140" s="2" t="s">
        <v>29</v>
      </c>
      <c r="D140" s="3">
        <v>45169</v>
      </c>
      <c r="E140" s="2" t="s">
        <v>663</v>
      </c>
      <c r="F140" s="2" t="s">
        <v>664</v>
      </c>
      <c r="G140" s="10">
        <v>93261.71</v>
      </c>
      <c r="H140" t="str">
        <v>Finance</v>
      </c>
      <c r="I140" t="str">
        <v>Stephanie Byrd</v>
      </c>
      <c r="J140" t="str">
        <v>millsanthony@gmail.com</v>
      </c>
      <c r="K140" t="str">
        <f t="shared" si="9"/>
        <v>31-08-2023</v>
      </c>
      <c r="L140" s="19">
        <f t="shared" si="8"/>
        <v>93261.71</v>
      </c>
      <c r="M140" s="10" t="str">
        <v>Finance</v>
      </c>
      <c r="N140" s="2" t="str">
        <f t="shared" si="10"/>
        <v>Has Email</v>
      </c>
      <c r="O140" t="str">
        <f t="shared" si="11"/>
        <v>Stephanie Byrd</v>
      </c>
    </row>
    <row r="141" spans="1:15" x14ac:dyDescent="0.4">
      <c r="A141" s="2" t="s">
        <v>665</v>
      </c>
      <c r="B141" s="2" t="s">
        <v>666</v>
      </c>
      <c r="C141" s="2" t="s">
        <v>41</v>
      </c>
      <c r="D141" s="3">
        <v>45625</v>
      </c>
      <c r="E141" s="2" t="s">
        <v>667</v>
      </c>
      <c r="F141" s="2" t="s">
        <v>668</v>
      </c>
      <c r="G141" s="10">
        <v>65777.69</v>
      </c>
      <c r="H141" t="str">
        <v>Sales</v>
      </c>
      <c r="I141" t="str">
        <v>Jeremy Reed</v>
      </c>
      <c r="J141" t="str">
        <v>gonzalezkaren@terrell.com</v>
      </c>
      <c r="K141" t="str">
        <f t="shared" si="9"/>
        <v>29-11-2024</v>
      </c>
      <c r="L141" s="19">
        <f t="shared" si="8"/>
        <v>65777.69</v>
      </c>
      <c r="M141" s="10" t="str">
        <v>Sales</v>
      </c>
      <c r="N141" s="2" t="str">
        <f t="shared" si="10"/>
        <v>Has Email</v>
      </c>
      <c r="O141" t="str">
        <f t="shared" si="11"/>
        <v>Jeremy Reed</v>
      </c>
    </row>
    <row r="142" spans="1:15" x14ac:dyDescent="0.4">
      <c r="A142" s="2" t="s">
        <v>669</v>
      </c>
      <c r="B142" s="2" t="s">
        <v>670</v>
      </c>
      <c r="C142" s="2" t="s">
        <v>48</v>
      </c>
      <c r="D142" s="3">
        <v>44440</v>
      </c>
      <c r="E142" s="2" t="s">
        <v>671</v>
      </c>
      <c r="F142" s="2" t="s">
        <v>672</v>
      </c>
      <c r="G142" s="10">
        <v>47853.599999999999</v>
      </c>
      <c r="H142" t="str">
        <v>Marketing</v>
      </c>
      <c r="I142" t="str">
        <v>Margaret Coleman</v>
      </c>
      <c r="J142" t="str">
        <v>vaughnkenneth@johnson.net</v>
      </c>
      <c r="K142" t="str">
        <f t="shared" si="9"/>
        <v>01-09-2021</v>
      </c>
      <c r="L142" s="19">
        <f t="shared" si="8"/>
        <v>47853.599999999999</v>
      </c>
      <c r="M142" s="10" t="str">
        <v>Marketing</v>
      </c>
      <c r="N142" s="2" t="str">
        <f t="shared" si="10"/>
        <v>Has Email</v>
      </c>
      <c r="O142" t="str">
        <f t="shared" si="11"/>
        <v>Margaret Coleman</v>
      </c>
    </row>
    <row r="143" spans="1:15" x14ac:dyDescent="0.4">
      <c r="A143" s="2" t="s">
        <v>673</v>
      </c>
      <c r="B143" s="2" t="s">
        <v>674</v>
      </c>
      <c r="C143" s="2" t="s">
        <v>48</v>
      </c>
      <c r="D143" s="3">
        <v>44514</v>
      </c>
      <c r="E143" s="2" t="s">
        <v>675</v>
      </c>
      <c r="F143" s="2" t="s">
        <v>676</v>
      </c>
      <c r="G143" s="10">
        <v>74731.03</v>
      </c>
      <c r="H143" t="str">
        <v>Marketing</v>
      </c>
      <c r="I143" t="str">
        <v>John Young</v>
      </c>
      <c r="J143" t="str">
        <v>tammy00@hotmail.com</v>
      </c>
      <c r="K143" t="str">
        <f t="shared" si="9"/>
        <v>14-11-2021</v>
      </c>
      <c r="L143" s="19">
        <f t="shared" si="8"/>
        <v>74731.03</v>
      </c>
      <c r="M143" s="10" t="str">
        <v>Marketing</v>
      </c>
      <c r="N143" s="2" t="str">
        <f t="shared" si="10"/>
        <v>Has Email</v>
      </c>
      <c r="O143" t="str">
        <f t="shared" si="11"/>
        <v>John Young</v>
      </c>
    </row>
    <row r="144" spans="1:15" x14ac:dyDescent="0.4">
      <c r="A144" s="2" t="s">
        <v>677</v>
      </c>
      <c r="B144" s="2" t="s">
        <v>678</v>
      </c>
      <c r="C144" s="2" t="s">
        <v>24</v>
      </c>
      <c r="D144" s="3">
        <v>45321</v>
      </c>
      <c r="E144" s="2" t="s">
        <v>679</v>
      </c>
      <c r="F144" s="2" t="s">
        <v>680</v>
      </c>
      <c r="G144" s="10">
        <v>62093.1</v>
      </c>
      <c r="H144" t="str">
        <v>It</v>
      </c>
      <c r="I144" t="str">
        <v>William Barrett</v>
      </c>
      <c r="J144" t="str">
        <v>kari89@parsons.com</v>
      </c>
      <c r="K144" t="str">
        <f t="shared" si="9"/>
        <v>30-01-2024</v>
      </c>
      <c r="L144" s="19">
        <f t="shared" si="8"/>
        <v>62093.1</v>
      </c>
      <c r="M144" s="10" t="str">
        <v>IT</v>
      </c>
      <c r="N144" s="2" t="str">
        <f t="shared" si="10"/>
        <v>Has Email</v>
      </c>
      <c r="O144" t="str">
        <f t="shared" si="11"/>
        <v>William Barrett</v>
      </c>
    </row>
    <row r="145" spans="1:15" x14ac:dyDescent="0.4">
      <c r="A145" s="2" t="s">
        <v>681</v>
      </c>
      <c r="B145" s="2" t="s">
        <v>682</v>
      </c>
      <c r="C145" s="2" t="s">
        <v>48</v>
      </c>
      <c r="D145" s="3">
        <v>43507</v>
      </c>
      <c r="E145" s="2" t="s">
        <v>683</v>
      </c>
      <c r="F145" s="2" t="s">
        <v>684</v>
      </c>
      <c r="G145" s="10">
        <v>29135.77</v>
      </c>
      <c r="H145" t="str">
        <v>Marketing</v>
      </c>
      <c r="I145" t="str">
        <v>Keith Jennings</v>
      </c>
      <c r="J145" t="str">
        <v>tonyajones@gmail.com</v>
      </c>
      <c r="K145" t="str">
        <f t="shared" si="9"/>
        <v>11-02-2019</v>
      </c>
      <c r="L145" s="19">
        <f t="shared" si="8"/>
        <v>29135.77</v>
      </c>
      <c r="M145" s="10" t="str">
        <v>Marketing</v>
      </c>
      <c r="N145" s="2" t="str">
        <f t="shared" si="10"/>
        <v>Has Email</v>
      </c>
      <c r="O145" t="str">
        <f t="shared" si="11"/>
        <v>Keith Jennings</v>
      </c>
    </row>
    <row r="146" spans="1:15" x14ac:dyDescent="0.4">
      <c r="A146" s="2" t="s">
        <v>685</v>
      </c>
      <c r="B146" s="2" t="s">
        <v>686</v>
      </c>
      <c r="C146" s="2" t="s">
        <v>29</v>
      </c>
      <c r="D146" s="3">
        <v>43844</v>
      </c>
      <c r="E146" s="2" t="s">
        <v>687</v>
      </c>
      <c r="F146" s="2" t="s">
        <v>688</v>
      </c>
      <c r="G146" s="10">
        <v>118198.75</v>
      </c>
      <c r="H146" t="str">
        <v>Finance</v>
      </c>
      <c r="I146" t="str">
        <v>Amber Obrien</v>
      </c>
      <c r="J146" t="str">
        <v>rwilliams@baker.com</v>
      </c>
      <c r="K146" t="str">
        <f t="shared" si="9"/>
        <v>14-01-2020</v>
      </c>
      <c r="L146" s="19">
        <f t="shared" si="8"/>
        <v>118198.75</v>
      </c>
      <c r="M146" s="10" t="str">
        <v>Finance</v>
      </c>
      <c r="N146" s="2" t="str">
        <f t="shared" si="10"/>
        <v>Has Email</v>
      </c>
      <c r="O146" t="str">
        <f t="shared" si="11"/>
        <v>Amber Obrien</v>
      </c>
    </row>
    <row r="147" spans="1:15" x14ac:dyDescent="0.4">
      <c r="A147" s="2" t="s">
        <v>689</v>
      </c>
      <c r="B147" s="2" t="s">
        <v>690</v>
      </c>
      <c r="C147" s="2" t="s">
        <v>13</v>
      </c>
      <c r="D147" s="3">
        <v>44046</v>
      </c>
      <c r="E147" s="2" t="s">
        <v>691</v>
      </c>
      <c r="F147" s="2" t="s">
        <v>692</v>
      </c>
      <c r="G147" s="10">
        <v>95995.08</v>
      </c>
      <c r="H147" t="str">
        <v>Hr</v>
      </c>
      <c r="I147" t="str">
        <v>TANNER MITCHELL DDS</v>
      </c>
      <c r="J147" t="str">
        <v>jmckinney@gmail.com</v>
      </c>
      <c r="K147" t="str">
        <f t="shared" si="9"/>
        <v>03-08-2020</v>
      </c>
      <c r="L147" s="19">
        <f t="shared" si="8"/>
        <v>95995.08</v>
      </c>
      <c r="M147" s="10" t="str">
        <v>HR</v>
      </c>
      <c r="N147" s="2" t="str">
        <f t="shared" si="10"/>
        <v>Has Email</v>
      </c>
      <c r="O147" t="str">
        <f t="shared" si="11"/>
        <v>TANNER MITCHELL DDS</v>
      </c>
    </row>
    <row r="148" spans="1:15" x14ac:dyDescent="0.4">
      <c r="A148" s="2" t="s">
        <v>693</v>
      </c>
      <c r="B148" s="2" t="s">
        <v>694</v>
      </c>
      <c r="C148" s="2" t="s">
        <v>48</v>
      </c>
      <c r="D148" s="3">
        <v>45780</v>
      </c>
      <c r="E148" s="2" t="s">
        <v>695</v>
      </c>
      <c r="F148" s="2" t="s">
        <v>696</v>
      </c>
      <c r="G148" s="10">
        <v>99909.4</v>
      </c>
      <c r="H148" t="str">
        <v>Marketing</v>
      </c>
      <c r="I148" t="str">
        <v>Heather Fields</v>
      </c>
      <c r="J148" t="str">
        <v>candice94@tyler-pierce.com</v>
      </c>
      <c r="K148" t="str">
        <f t="shared" si="9"/>
        <v>03-05-2025</v>
      </c>
      <c r="L148" s="19">
        <f t="shared" si="8"/>
        <v>99909.4</v>
      </c>
      <c r="M148" s="10" t="str">
        <v>Marketing</v>
      </c>
      <c r="N148" s="2" t="str">
        <f t="shared" si="10"/>
        <v>Has Email</v>
      </c>
      <c r="O148" t="str">
        <f t="shared" si="11"/>
        <v>Heather Fields</v>
      </c>
    </row>
    <row r="149" spans="1:15" x14ac:dyDescent="0.4">
      <c r="A149" s="2" t="s">
        <v>697</v>
      </c>
      <c r="B149" s="2" t="s">
        <v>698</v>
      </c>
      <c r="C149" s="2" t="s">
        <v>13</v>
      </c>
      <c r="D149" s="3">
        <v>43710</v>
      </c>
      <c r="E149" s="2" t="s">
        <v>699</v>
      </c>
      <c r="F149" s="2" t="s">
        <v>700</v>
      </c>
      <c r="G149" s="10">
        <v>98292.63</v>
      </c>
      <c r="H149" t="str">
        <v>Hr</v>
      </c>
      <c r="I149" t="str">
        <v>Sara Fuller</v>
      </c>
      <c r="J149" t="str">
        <v>zdaniels@bailey.com</v>
      </c>
      <c r="K149" t="str">
        <f t="shared" si="9"/>
        <v>02-09-2019</v>
      </c>
      <c r="L149" s="19">
        <f t="shared" si="8"/>
        <v>98292.63</v>
      </c>
      <c r="M149" s="10" t="str">
        <v>HR</v>
      </c>
      <c r="N149" s="2" t="str">
        <f t="shared" si="10"/>
        <v>Has Email</v>
      </c>
      <c r="O149" t="str">
        <f t="shared" si="11"/>
        <v>Sara Fuller</v>
      </c>
    </row>
    <row r="150" spans="1:15" x14ac:dyDescent="0.4">
      <c r="A150" s="2" t="s">
        <v>702</v>
      </c>
      <c r="B150" s="2" t="s">
        <v>703</v>
      </c>
      <c r="C150" s="2" t="s">
        <v>41</v>
      </c>
      <c r="D150" s="3">
        <v>43600</v>
      </c>
      <c r="E150" s="2" t="s">
        <v>704</v>
      </c>
      <c r="F150" s="2" t="s">
        <v>705</v>
      </c>
      <c r="G150" s="10">
        <v>103886.45</v>
      </c>
      <c r="H150" t="str">
        <v>Sales</v>
      </c>
      <c r="I150" t="str">
        <v>Edward Burgess</v>
      </c>
      <c r="J150" t="str">
        <v>caldwellsean@austin.com</v>
      </c>
      <c r="K150" t="str">
        <f t="shared" si="9"/>
        <v>15-05-2019</v>
      </c>
      <c r="L150" s="19">
        <f t="shared" si="8"/>
        <v>103886.45</v>
      </c>
      <c r="M150" s="10" t="str">
        <v>Sales</v>
      </c>
      <c r="N150" s="2" t="str">
        <f t="shared" si="10"/>
        <v>Has Email</v>
      </c>
      <c r="O150" t="str">
        <f t="shared" si="11"/>
        <v>Edward Burgess</v>
      </c>
    </row>
    <row r="151" spans="1:15" x14ac:dyDescent="0.4">
      <c r="A151" s="2" t="s">
        <v>706</v>
      </c>
      <c r="B151" s="2" t="s">
        <v>707</v>
      </c>
      <c r="C151" s="2" t="s">
        <v>13</v>
      </c>
      <c r="D151" s="3">
        <v>45351</v>
      </c>
      <c r="E151" s="2" t="s">
        <v>708</v>
      </c>
      <c r="F151" s="2" t="s">
        <v>709</v>
      </c>
      <c r="G151" s="10">
        <v>118177.82</v>
      </c>
      <c r="H151" t="str">
        <v>Hr</v>
      </c>
      <c r="I151" t="str">
        <v>Carlos Ryan</v>
      </c>
      <c r="J151" t="str">
        <v>cruzamber@yahoo.com</v>
      </c>
      <c r="K151" t="str">
        <f t="shared" si="9"/>
        <v>29-02-2024</v>
      </c>
      <c r="L151" s="19">
        <f t="shared" si="8"/>
        <v>118177.82</v>
      </c>
      <c r="M151" s="10" t="str">
        <v>HR</v>
      </c>
      <c r="N151" s="2" t="str">
        <f t="shared" si="10"/>
        <v>Has Email</v>
      </c>
      <c r="O151" t="str">
        <f t="shared" si="11"/>
        <v>Carlos Ryan</v>
      </c>
    </row>
    <row r="152" spans="1:15" x14ac:dyDescent="0.4">
      <c r="A152" s="2" t="s">
        <v>711</v>
      </c>
      <c r="B152" s="2" t="s">
        <v>712</v>
      </c>
      <c r="C152" s="2" t="s">
        <v>29</v>
      </c>
      <c r="D152" s="3">
        <v>45294</v>
      </c>
      <c r="E152" s="2" t="s">
        <v>713</v>
      </c>
      <c r="F152" s="2" t="s">
        <v>714</v>
      </c>
      <c r="G152" s="10">
        <v>30994.55</v>
      </c>
      <c r="H152" t="str">
        <v>Finance</v>
      </c>
      <c r="I152" t="str">
        <v>Dawn Summers</v>
      </c>
      <c r="J152" t="str">
        <v>vaughangary@hotmail.com</v>
      </c>
      <c r="K152" t="str">
        <f t="shared" si="9"/>
        <v>03-01-2024</v>
      </c>
      <c r="L152" s="19">
        <f t="shared" si="8"/>
        <v>30994.55</v>
      </c>
      <c r="M152" s="10" t="str">
        <v>Finance</v>
      </c>
      <c r="N152" s="2" t="str">
        <f t="shared" si="10"/>
        <v>Has Email</v>
      </c>
      <c r="O152" t="str">
        <f t="shared" si="11"/>
        <v>Dawn Summers</v>
      </c>
    </row>
    <row r="153" spans="1:15" x14ac:dyDescent="0.4">
      <c r="A153" s="2" t="s">
        <v>715</v>
      </c>
      <c r="B153" s="2" t="s">
        <v>716</v>
      </c>
      <c r="C153" s="2" t="s">
        <v>48</v>
      </c>
      <c r="D153" s="3">
        <v>44012</v>
      </c>
      <c r="E153" s="2" t="s">
        <v>717</v>
      </c>
      <c r="F153" s="2" t="s">
        <v>718</v>
      </c>
      <c r="G153" s="10">
        <v>109150.09</v>
      </c>
      <c r="H153" t="str">
        <v>Marketing</v>
      </c>
      <c r="I153" t="str">
        <v>Shannon Ramsey</v>
      </c>
      <c r="J153" t="str">
        <v>brownlaura@jones.biz</v>
      </c>
      <c r="K153" t="str">
        <f t="shared" si="9"/>
        <v>30-06-2020</v>
      </c>
      <c r="L153" s="19">
        <f t="shared" si="8"/>
        <v>109150.09</v>
      </c>
      <c r="M153" s="10" t="str">
        <v>Marketing</v>
      </c>
      <c r="N153" s="2" t="str">
        <f t="shared" si="10"/>
        <v>Has Email</v>
      </c>
      <c r="O153" t="str">
        <f t="shared" si="11"/>
        <v>Shannon Ramsey</v>
      </c>
    </row>
    <row r="154" spans="1:15" x14ac:dyDescent="0.4">
      <c r="A154" s="2" t="s">
        <v>719</v>
      </c>
      <c r="B154" s="2" t="s">
        <v>720</v>
      </c>
      <c r="C154" s="2" t="s">
        <v>48</v>
      </c>
      <c r="D154" s="3">
        <v>44101</v>
      </c>
      <c r="E154" s="2" t="s">
        <v>721</v>
      </c>
      <c r="F154" s="2" t="s">
        <v>722</v>
      </c>
      <c r="G154" s="10">
        <v>113670.24</v>
      </c>
      <c r="H154" t="str">
        <v>Marketing</v>
      </c>
      <c r="I154" t="str">
        <v>Tracy Ballard</v>
      </c>
      <c r="J154" t="str">
        <v>bmccoy@yahoo.com</v>
      </c>
      <c r="K154" t="str">
        <f t="shared" si="9"/>
        <v>27-09-2020</v>
      </c>
      <c r="L154" s="19">
        <f t="shared" si="8"/>
        <v>113670.24</v>
      </c>
      <c r="M154" s="10" t="str">
        <v>Marketing</v>
      </c>
      <c r="N154" s="2" t="str">
        <f t="shared" si="10"/>
        <v>Has Email</v>
      </c>
      <c r="O154" t="str">
        <f t="shared" si="11"/>
        <v>Tracy Ballard</v>
      </c>
    </row>
    <row r="155" spans="1:15" x14ac:dyDescent="0.4">
      <c r="A155" s="2" t="s">
        <v>723</v>
      </c>
      <c r="B155" s="2" t="s">
        <v>724</v>
      </c>
      <c r="C155" s="2" t="s">
        <v>29</v>
      </c>
      <c r="D155" s="3">
        <v>43070</v>
      </c>
      <c r="E155" s="2" t="s">
        <v>725</v>
      </c>
      <c r="F155" s="2" t="s">
        <v>726</v>
      </c>
      <c r="G155" s="10">
        <v>118966.66</v>
      </c>
      <c r="H155" t="str">
        <v>Finance</v>
      </c>
      <c r="I155" t="str">
        <v>Richard Smith</v>
      </c>
      <c r="J155" t="str">
        <v>inunez@may.com</v>
      </c>
      <c r="K155" t="str">
        <f t="shared" si="9"/>
        <v>01-12-2017</v>
      </c>
      <c r="L155" s="19">
        <f t="shared" si="8"/>
        <v>118966.66</v>
      </c>
      <c r="M155" s="10" t="str">
        <v>Finance</v>
      </c>
      <c r="N155" s="2" t="str">
        <f t="shared" si="10"/>
        <v>Has Email</v>
      </c>
      <c r="O155" t="str">
        <f t="shared" si="11"/>
        <v>Richard Smith</v>
      </c>
    </row>
    <row r="156" spans="1:15" x14ac:dyDescent="0.4">
      <c r="A156" s="2" t="s">
        <v>728</v>
      </c>
      <c r="B156" s="2" t="s">
        <v>729</v>
      </c>
      <c r="C156" s="2" t="s">
        <v>29</v>
      </c>
      <c r="D156" s="3">
        <v>44672</v>
      </c>
      <c r="E156" s="2" t="s">
        <v>730</v>
      </c>
      <c r="F156" s="2" t="s">
        <v>731</v>
      </c>
      <c r="G156" s="10">
        <v>107250.84</v>
      </c>
      <c r="H156" t="str">
        <v>Finance</v>
      </c>
      <c r="I156" t="str">
        <v>Ashley Hall</v>
      </c>
      <c r="J156" t="str">
        <v>amandataylor@yahoo.com</v>
      </c>
      <c r="K156" t="str">
        <f t="shared" si="9"/>
        <v>21-04-2022</v>
      </c>
      <c r="L156" s="19">
        <f t="shared" si="8"/>
        <v>107250.84</v>
      </c>
      <c r="M156" s="10" t="str">
        <v>Finance</v>
      </c>
      <c r="N156" s="2" t="str">
        <f t="shared" si="10"/>
        <v>Has Email</v>
      </c>
      <c r="O156" t="str">
        <f t="shared" si="11"/>
        <v>Ashley Hall</v>
      </c>
    </row>
    <row r="157" spans="1:15" x14ac:dyDescent="0.4">
      <c r="A157" s="2" t="s">
        <v>732</v>
      </c>
      <c r="B157" s="2" t="s">
        <v>733</v>
      </c>
      <c r="C157" s="2" t="s">
        <v>13</v>
      </c>
      <c r="D157" s="3">
        <v>44457</v>
      </c>
      <c r="E157" s="2" t="s">
        <v>734</v>
      </c>
      <c r="F157" s="2" t="s">
        <v>735</v>
      </c>
      <c r="G157" s="10">
        <v>66510.38</v>
      </c>
      <c r="H157" t="str">
        <v>Hr</v>
      </c>
      <c r="I157" t="str">
        <v>Connie Brown</v>
      </c>
      <c r="J157" t="str">
        <v>kennetheaton@hotmail.com</v>
      </c>
      <c r="K157" t="str">
        <f t="shared" si="9"/>
        <v>18-09-2021</v>
      </c>
      <c r="L157" s="19">
        <f t="shared" si="8"/>
        <v>66510.38</v>
      </c>
      <c r="M157" s="10" t="str">
        <v>HR</v>
      </c>
      <c r="N157" s="2" t="str">
        <f t="shared" si="10"/>
        <v>Has Email</v>
      </c>
      <c r="O157" t="str">
        <f t="shared" si="11"/>
        <v>Connie Brown</v>
      </c>
    </row>
    <row r="158" spans="1:15" x14ac:dyDescent="0.4">
      <c r="A158" s="2" t="s">
        <v>736</v>
      </c>
      <c r="B158" s="2" t="s">
        <v>737</v>
      </c>
      <c r="C158" s="2" t="s">
        <v>48</v>
      </c>
      <c r="D158" s="3">
        <v>43223</v>
      </c>
      <c r="E158" s="2" t="s">
        <v>738</v>
      </c>
      <c r="F158" s="2" t="s">
        <v>739</v>
      </c>
      <c r="G158" s="10">
        <v>95614.23</v>
      </c>
      <c r="H158" t="str">
        <v>Marketing</v>
      </c>
      <c r="I158" t="str">
        <v>Susan Turner</v>
      </c>
      <c r="J158" t="str">
        <v>spencerangela@gmail.com</v>
      </c>
      <c r="K158" t="str">
        <f t="shared" si="9"/>
        <v>03-05-2018</v>
      </c>
      <c r="L158" s="19">
        <f t="shared" si="8"/>
        <v>95614.23</v>
      </c>
      <c r="M158" s="10" t="str">
        <v>Marketing</v>
      </c>
      <c r="N158" s="2" t="str">
        <f t="shared" si="10"/>
        <v>Has Email</v>
      </c>
      <c r="O158" t="str">
        <f t="shared" si="11"/>
        <v>Susan Turner</v>
      </c>
    </row>
    <row r="159" spans="1:15" x14ac:dyDescent="0.4">
      <c r="A159" s="2" t="s">
        <v>740</v>
      </c>
      <c r="B159" s="2" t="s">
        <v>741</v>
      </c>
      <c r="C159" s="2" t="s">
        <v>48</v>
      </c>
      <c r="D159" s="3">
        <v>42574</v>
      </c>
      <c r="E159" s="2" t="s">
        <v>742</v>
      </c>
      <c r="F159" s="2" t="s">
        <v>743</v>
      </c>
      <c r="G159" s="10">
        <v>72139.31</v>
      </c>
      <c r="H159" t="str">
        <v>Marketing</v>
      </c>
      <c r="I159" t="str">
        <v>Johnathan Davis</v>
      </c>
      <c r="J159" t="str">
        <v>gwhitehead@martin.org</v>
      </c>
      <c r="K159" t="str">
        <f t="shared" si="9"/>
        <v>23-07-2016</v>
      </c>
      <c r="L159" s="19">
        <f t="shared" si="8"/>
        <v>72139.31</v>
      </c>
      <c r="M159" s="10" t="str">
        <v>Marketing</v>
      </c>
      <c r="N159" s="2" t="str">
        <f t="shared" si="10"/>
        <v>Has Email</v>
      </c>
      <c r="O159" t="str">
        <f t="shared" si="11"/>
        <v>Johnathan Davis</v>
      </c>
    </row>
    <row r="160" spans="1:15" x14ac:dyDescent="0.4">
      <c r="A160" s="2" t="s">
        <v>744</v>
      </c>
      <c r="B160" s="2" t="s">
        <v>745</v>
      </c>
      <c r="C160" s="2" t="s">
        <v>48</v>
      </c>
      <c r="D160" s="3">
        <v>42804</v>
      </c>
      <c r="E160" s="2" t="s">
        <v>746</v>
      </c>
      <c r="F160" s="2" t="s">
        <v>747</v>
      </c>
      <c r="G160" s="10">
        <v>101109.07</v>
      </c>
      <c r="H160" t="str">
        <v>Marketing</v>
      </c>
      <c r="I160" t="str">
        <v>Natalie Bautista</v>
      </c>
      <c r="J160" t="str">
        <v>dannylambert@hotmail.com</v>
      </c>
      <c r="K160" t="str">
        <f t="shared" si="9"/>
        <v>10-03-2017</v>
      </c>
      <c r="L160" s="19">
        <f t="shared" si="8"/>
        <v>101109.07</v>
      </c>
      <c r="M160" s="10" t="str">
        <v>Marketing</v>
      </c>
      <c r="N160" s="2" t="str">
        <f t="shared" si="10"/>
        <v>Has Email</v>
      </c>
      <c r="O160" t="str">
        <f t="shared" si="11"/>
        <v>Natalie Bautista</v>
      </c>
    </row>
    <row r="161" spans="1:15" x14ac:dyDescent="0.4">
      <c r="A161" s="2" t="s">
        <v>749</v>
      </c>
      <c r="B161" s="2" t="s">
        <v>750</v>
      </c>
      <c r="C161" s="2" t="s">
        <v>9</v>
      </c>
      <c r="D161" s="3">
        <v>45061</v>
      </c>
      <c r="E161" s="2" t="s">
        <v>751</v>
      </c>
      <c r="F161" s="2" t="s">
        <v>752</v>
      </c>
      <c r="G161" s="10">
        <v>76820.070000000007</v>
      </c>
      <c r="H161" t="str">
        <v>Operations</v>
      </c>
      <c r="I161" t="str">
        <v>Brett Burns</v>
      </c>
      <c r="J161" t="str">
        <v>enewman@powers-king.com</v>
      </c>
      <c r="K161" t="str">
        <f t="shared" si="9"/>
        <v>15-05-2023</v>
      </c>
      <c r="L161" s="19">
        <f t="shared" si="8"/>
        <v>76820.070000000007</v>
      </c>
      <c r="M161" s="10" t="str">
        <v>Operations</v>
      </c>
      <c r="N161" s="2" t="str">
        <f t="shared" si="10"/>
        <v>Has Email</v>
      </c>
      <c r="O161" t="str">
        <f t="shared" si="11"/>
        <v>Brett Burns</v>
      </c>
    </row>
    <row r="162" spans="1:15" x14ac:dyDescent="0.4">
      <c r="A162" s="2" t="s">
        <v>753</v>
      </c>
      <c r="B162" s="2" t="s">
        <v>754</v>
      </c>
      <c r="C162" s="2" t="s">
        <v>41</v>
      </c>
      <c r="D162" s="3">
        <v>43906</v>
      </c>
      <c r="E162" s="2" t="s">
        <v>755</v>
      </c>
      <c r="F162" s="2" t="s">
        <v>756</v>
      </c>
      <c r="G162" s="10">
        <v>34746.800000000003</v>
      </c>
      <c r="H162" t="str">
        <v>Sales</v>
      </c>
      <c r="I162" t="str">
        <v>Trevor Johnson</v>
      </c>
      <c r="J162" t="str">
        <v>michael31@yahoo.com</v>
      </c>
      <c r="K162" t="str">
        <f t="shared" si="9"/>
        <v>16-03-2020</v>
      </c>
      <c r="L162" s="19">
        <f t="shared" si="8"/>
        <v>34746.800000000003</v>
      </c>
      <c r="M162" s="10" t="str">
        <v>Sales</v>
      </c>
      <c r="N162" s="2" t="str">
        <f t="shared" si="10"/>
        <v>Has Email</v>
      </c>
      <c r="O162" t="str">
        <f t="shared" si="11"/>
        <v>Trevor Johnson</v>
      </c>
    </row>
    <row r="163" spans="1:15" x14ac:dyDescent="0.4">
      <c r="A163" s="2" t="s">
        <v>757</v>
      </c>
      <c r="B163" s="2" t="s">
        <v>758</v>
      </c>
      <c r="C163" s="2" t="s">
        <v>9</v>
      </c>
      <c r="D163" s="3">
        <v>45289</v>
      </c>
      <c r="E163" s="2" t="s">
        <v>759</v>
      </c>
      <c r="F163" s="2" t="s">
        <v>760</v>
      </c>
      <c r="G163" s="10">
        <v>87787.33</v>
      </c>
      <c r="H163" t="str">
        <v>Operations</v>
      </c>
      <c r="I163" t="str">
        <v>Jeremy Sampson</v>
      </c>
      <c r="J163" t="str">
        <v>louishayes@hopkins.org</v>
      </c>
      <c r="K163" t="str">
        <f t="shared" si="9"/>
        <v>29-12-2023</v>
      </c>
      <c r="L163" s="19">
        <f t="shared" si="8"/>
        <v>87787.33</v>
      </c>
      <c r="M163" s="10" t="str">
        <v>Operations</v>
      </c>
      <c r="N163" s="2" t="str">
        <f t="shared" si="10"/>
        <v>Has Email</v>
      </c>
      <c r="O163" t="str">
        <f t="shared" si="11"/>
        <v>Jeremy Sampson</v>
      </c>
    </row>
    <row r="164" spans="1:15" x14ac:dyDescent="0.4">
      <c r="A164" s="2" t="s">
        <v>761</v>
      </c>
      <c r="B164" s="2" t="s">
        <v>762</v>
      </c>
      <c r="C164" s="2" t="s">
        <v>9</v>
      </c>
      <c r="D164" s="3">
        <v>43642</v>
      </c>
      <c r="E164" s="2" t="s">
        <v>763</v>
      </c>
      <c r="F164" s="2" t="s">
        <v>764</v>
      </c>
      <c r="G164" s="10">
        <v>67362</v>
      </c>
      <c r="H164" t="str">
        <v>Operations</v>
      </c>
      <c r="I164" t="str">
        <v>Ariana Jennings</v>
      </c>
      <c r="J164" t="str">
        <v>susan20@yahoo.com</v>
      </c>
      <c r="K164" t="str">
        <f t="shared" si="9"/>
        <v>26-06-2019</v>
      </c>
      <c r="L164" s="19">
        <f t="shared" si="8"/>
        <v>67362</v>
      </c>
      <c r="M164" s="10" t="str">
        <v>Operations</v>
      </c>
      <c r="N164" s="2" t="str">
        <f t="shared" si="10"/>
        <v>Has Email</v>
      </c>
      <c r="O164" t="str">
        <f t="shared" si="11"/>
        <v>Ariana Jennings</v>
      </c>
    </row>
    <row r="165" spans="1:15" x14ac:dyDescent="0.4">
      <c r="A165" s="2" t="s">
        <v>765</v>
      </c>
      <c r="B165" s="2" t="s">
        <v>766</v>
      </c>
      <c r="C165" s="2" t="s">
        <v>48</v>
      </c>
      <c r="D165" s="3">
        <v>43568</v>
      </c>
      <c r="E165" s="2" t="s">
        <v>767</v>
      </c>
      <c r="F165" s="2" t="s">
        <v>768</v>
      </c>
      <c r="G165" s="10">
        <v>40831.25</v>
      </c>
      <c r="H165" t="str">
        <v>Marketing</v>
      </c>
      <c r="I165" t="str">
        <v>Vanessa Howard</v>
      </c>
      <c r="J165" t="str">
        <v>jenniferdavidson@larsen-taylor.com</v>
      </c>
      <c r="K165" t="str">
        <f t="shared" si="9"/>
        <v>13-04-2019</v>
      </c>
      <c r="L165" s="19">
        <f t="shared" si="8"/>
        <v>40831.25</v>
      </c>
      <c r="M165" s="10" t="str">
        <v>Marketing</v>
      </c>
      <c r="N165" s="2" t="str">
        <f t="shared" si="10"/>
        <v>Has Email</v>
      </c>
      <c r="O165" t="str">
        <f t="shared" si="11"/>
        <v>Vanessa Howard</v>
      </c>
    </row>
    <row r="166" spans="1:15" x14ac:dyDescent="0.4">
      <c r="A166" s="2" t="s">
        <v>769</v>
      </c>
      <c r="B166" s="2" t="s">
        <v>770</v>
      </c>
      <c r="C166" s="2" t="s">
        <v>29</v>
      </c>
      <c r="D166" s="3">
        <v>43997</v>
      </c>
      <c r="E166" s="2" t="s">
        <v>771</v>
      </c>
      <c r="F166" s="2" t="s">
        <v>772</v>
      </c>
      <c r="G166" s="10">
        <v>94047.37</v>
      </c>
      <c r="H166" t="str">
        <v>Finance</v>
      </c>
      <c r="I166" t="str">
        <v>Jordan Bates</v>
      </c>
      <c r="J166" t="str">
        <v>thompsoncatherine@yahoo.com</v>
      </c>
      <c r="K166" t="str">
        <f t="shared" si="9"/>
        <v>15-06-2020</v>
      </c>
      <c r="L166" s="19">
        <f t="shared" si="8"/>
        <v>94047.37</v>
      </c>
      <c r="M166" s="10" t="str">
        <v>Finance</v>
      </c>
      <c r="N166" s="2" t="str">
        <f t="shared" si="10"/>
        <v>Has Email</v>
      </c>
      <c r="O166" t="str">
        <f t="shared" si="11"/>
        <v>Jordan Bates</v>
      </c>
    </row>
    <row r="167" spans="1:15" x14ac:dyDescent="0.4">
      <c r="A167" s="2" t="s">
        <v>773</v>
      </c>
      <c r="B167" s="2" t="s">
        <v>774</v>
      </c>
      <c r="C167" s="2" t="s">
        <v>24</v>
      </c>
      <c r="D167" s="3">
        <v>45805</v>
      </c>
      <c r="E167" s="2" t="s">
        <v>775</v>
      </c>
      <c r="F167" s="2" t="s">
        <v>776</v>
      </c>
      <c r="G167" s="10">
        <v>83410.89</v>
      </c>
      <c r="H167" t="str">
        <v>It</v>
      </c>
      <c r="I167" t="str">
        <v>Linda Smith</v>
      </c>
      <c r="J167" t="str">
        <v>josemercado@luna.net</v>
      </c>
      <c r="K167" t="str">
        <f t="shared" si="9"/>
        <v>28-05-2025</v>
      </c>
      <c r="L167" s="19">
        <f t="shared" si="8"/>
        <v>83410.89</v>
      </c>
      <c r="M167" s="10" t="str">
        <v>IT</v>
      </c>
      <c r="N167" s="2" t="str">
        <f t="shared" si="10"/>
        <v>Has Email</v>
      </c>
      <c r="O167" t="str">
        <f t="shared" si="11"/>
        <v>Linda Smith</v>
      </c>
    </row>
    <row r="168" spans="1:15" x14ac:dyDescent="0.4">
      <c r="A168" s="2" t="s">
        <v>777</v>
      </c>
      <c r="B168" s="2" t="s">
        <v>778</v>
      </c>
      <c r="C168" s="2" t="s">
        <v>13</v>
      </c>
      <c r="D168" s="3">
        <v>43165</v>
      </c>
      <c r="E168" s="2" t="s">
        <v>779</v>
      </c>
      <c r="F168" s="2" t="s">
        <v>780</v>
      </c>
      <c r="G168" s="10">
        <v>32128.91</v>
      </c>
      <c r="H168" t="str">
        <v>Hr</v>
      </c>
      <c r="I168" t="str">
        <v>Andrea Hubbard</v>
      </c>
      <c r="J168" t="str">
        <v>michaelwalker@hotmail.com</v>
      </c>
      <c r="K168" t="str">
        <f t="shared" si="9"/>
        <v>06-03-2018</v>
      </c>
      <c r="L168" s="19">
        <f t="shared" si="8"/>
        <v>32128.91</v>
      </c>
      <c r="M168" s="10" t="str">
        <v>HR</v>
      </c>
      <c r="N168" s="2" t="str">
        <f t="shared" si="10"/>
        <v>Has Email</v>
      </c>
      <c r="O168" t="str">
        <f t="shared" si="11"/>
        <v>Andrea Hubbard</v>
      </c>
    </row>
    <row r="169" spans="1:15" x14ac:dyDescent="0.4">
      <c r="A169" s="2" t="s">
        <v>782</v>
      </c>
      <c r="B169" s="2" t="s">
        <v>783</v>
      </c>
      <c r="C169" s="2" t="s">
        <v>41</v>
      </c>
      <c r="D169" s="3">
        <v>43799</v>
      </c>
      <c r="E169" s="2" t="s">
        <v>784</v>
      </c>
      <c r="F169" s="2" t="s">
        <v>785</v>
      </c>
      <c r="G169" s="10">
        <v>105623.58</v>
      </c>
      <c r="H169" t="str">
        <v>Sales</v>
      </c>
      <c r="I169" t="str">
        <v>Scott Thomas</v>
      </c>
      <c r="J169" t="str">
        <v>seanwhite@hopkins.info</v>
      </c>
      <c r="K169" t="str">
        <f t="shared" si="9"/>
        <v>30-11-2019</v>
      </c>
      <c r="L169" s="19">
        <f t="shared" si="8"/>
        <v>105623.58</v>
      </c>
      <c r="M169" s="10" t="str">
        <v>Sales</v>
      </c>
      <c r="N169" s="2" t="str">
        <f t="shared" si="10"/>
        <v>Has Email</v>
      </c>
      <c r="O169" t="str">
        <f t="shared" si="11"/>
        <v>Scott Thomas</v>
      </c>
    </row>
    <row r="170" spans="1:15" x14ac:dyDescent="0.4">
      <c r="A170" s="2" t="s">
        <v>788</v>
      </c>
      <c r="B170" s="2" t="s">
        <v>789</v>
      </c>
      <c r="C170" s="2" t="s">
        <v>9</v>
      </c>
      <c r="D170" s="3">
        <v>42628</v>
      </c>
      <c r="E170" s="2" t="s">
        <v>790</v>
      </c>
      <c r="F170" s="2" t="s">
        <v>791</v>
      </c>
      <c r="G170" s="10">
        <v>47419.56</v>
      </c>
      <c r="H170" t="str">
        <v>Operations</v>
      </c>
      <c r="I170" t="str">
        <v>Allison Smith</v>
      </c>
      <c r="J170" t="str">
        <v>jim38@yahoo.com</v>
      </c>
      <c r="K170" t="str">
        <f t="shared" si="9"/>
        <v>15-09-2016</v>
      </c>
      <c r="L170" s="19">
        <f t="shared" si="8"/>
        <v>47419.56</v>
      </c>
      <c r="M170" s="10" t="str">
        <v>Operations</v>
      </c>
      <c r="N170" s="2" t="str">
        <f t="shared" si="10"/>
        <v>Has Email</v>
      </c>
      <c r="O170" t="str">
        <f t="shared" si="11"/>
        <v>Allison Smith</v>
      </c>
    </row>
    <row r="171" spans="1:15" x14ac:dyDescent="0.4">
      <c r="A171" s="2" t="s">
        <v>793</v>
      </c>
      <c r="B171" s="2" t="s">
        <v>794</v>
      </c>
      <c r="C171" s="2" t="s">
        <v>13</v>
      </c>
      <c r="D171" s="3">
        <v>43715</v>
      </c>
      <c r="E171" s="2" t="s">
        <v>795</v>
      </c>
      <c r="F171" s="2" t="s">
        <v>796</v>
      </c>
      <c r="G171" s="10">
        <v>82484.009999999995</v>
      </c>
      <c r="H171" t="str">
        <v>Hr</v>
      </c>
      <c r="I171" t="str">
        <v>Anthony Harmon</v>
      </c>
      <c r="J171" t="str">
        <v>padillaadrienne@yahoo.com</v>
      </c>
      <c r="K171" t="str">
        <f t="shared" si="9"/>
        <v>07-09-2019</v>
      </c>
      <c r="L171" s="19">
        <f t="shared" si="8"/>
        <v>82484.009999999995</v>
      </c>
      <c r="M171" s="10" t="str">
        <v>HR</v>
      </c>
      <c r="N171" s="2" t="str">
        <f t="shared" si="10"/>
        <v>Has Email</v>
      </c>
      <c r="O171" t="str">
        <f t="shared" si="11"/>
        <v>Anthony Harmon</v>
      </c>
    </row>
    <row r="172" spans="1:15" x14ac:dyDescent="0.4">
      <c r="A172" s="2" t="s">
        <v>797</v>
      </c>
      <c r="B172" s="2" t="s">
        <v>798</v>
      </c>
      <c r="C172" s="2" t="s">
        <v>13</v>
      </c>
      <c r="D172" s="3">
        <v>43759</v>
      </c>
      <c r="E172" s="2" t="s">
        <v>799</v>
      </c>
      <c r="F172" s="2" t="s">
        <v>800</v>
      </c>
      <c r="G172" s="10">
        <v>115138.24000000001</v>
      </c>
      <c r="H172" t="str">
        <v>Hr</v>
      </c>
      <c r="I172" t="str">
        <v>Nichole Alvarez</v>
      </c>
      <c r="J172" t="str">
        <v>nicholasgray@hotmail.com</v>
      </c>
      <c r="K172" t="str">
        <f t="shared" si="9"/>
        <v>21-10-2019</v>
      </c>
      <c r="L172" s="19">
        <f t="shared" si="8"/>
        <v>115138.24000000001</v>
      </c>
      <c r="M172" s="10" t="str">
        <v>HR</v>
      </c>
      <c r="N172" s="2" t="str">
        <f t="shared" si="10"/>
        <v>Has Email</v>
      </c>
      <c r="O172" t="str">
        <f t="shared" si="11"/>
        <v>Nichole Alvarez</v>
      </c>
    </row>
    <row r="173" spans="1:15" x14ac:dyDescent="0.4">
      <c r="A173" s="2" t="s">
        <v>801</v>
      </c>
      <c r="B173" s="2" t="s">
        <v>802</v>
      </c>
      <c r="C173" s="2" t="s">
        <v>48</v>
      </c>
      <c r="D173" s="3">
        <v>42935</v>
      </c>
      <c r="E173" s="2" t="s">
        <v>803</v>
      </c>
      <c r="F173" s="2" t="s">
        <v>804</v>
      </c>
      <c r="G173" s="10">
        <v>79522.570000000007</v>
      </c>
      <c r="H173" t="str">
        <v>Marketing</v>
      </c>
      <c r="I173" t="str">
        <v>Theresa Williams</v>
      </c>
      <c r="J173" t="str">
        <v>shawdon@gmail.com</v>
      </c>
      <c r="K173" t="str">
        <f t="shared" si="9"/>
        <v>19-07-2017</v>
      </c>
      <c r="L173" s="19">
        <f t="shared" si="8"/>
        <v>79522.570000000007</v>
      </c>
      <c r="M173" s="10" t="str">
        <v>Marketing</v>
      </c>
      <c r="N173" s="2" t="str">
        <f t="shared" si="10"/>
        <v>Has Email</v>
      </c>
      <c r="O173" t="str">
        <f t="shared" si="11"/>
        <v>Theresa Williams</v>
      </c>
    </row>
    <row r="174" spans="1:15" x14ac:dyDescent="0.4">
      <c r="A174" s="2" t="s">
        <v>805</v>
      </c>
      <c r="B174" s="2" t="s">
        <v>806</v>
      </c>
      <c r="C174" s="2" t="s">
        <v>41</v>
      </c>
      <c r="D174" s="3">
        <v>44881</v>
      </c>
      <c r="E174" s="2" t="s">
        <v>807</v>
      </c>
      <c r="F174" s="2" t="s">
        <v>808</v>
      </c>
      <c r="G174" s="10">
        <v>62813.23</v>
      </c>
      <c r="H174" t="str">
        <v>Sales</v>
      </c>
      <c r="I174" t="str">
        <v>Sharon Boyd</v>
      </c>
      <c r="J174" t="str">
        <v>robertsonjuan@lopez.org</v>
      </c>
      <c r="K174" t="str">
        <f t="shared" si="9"/>
        <v>16-11-2022</v>
      </c>
      <c r="L174" s="19">
        <f t="shared" si="8"/>
        <v>62813.23</v>
      </c>
      <c r="M174" s="10" t="str">
        <v>Sales</v>
      </c>
      <c r="N174" s="2" t="str">
        <f t="shared" si="10"/>
        <v>Has Email</v>
      </c>
      <c r="O174" t="str">
        <f t="shared" si="11"/>
        <v>Sharon Boyd</v>
      </c>
    </row>
    <row r="175" spans="1:15" x14ac:dyDescent="0.4">
      <c r="A175" s="2" t="s">
        <v>811</v>
      </c>
      <c r="B175" s="2" t="s">
        <v>812</v>
      </c>
      <c r="C175" s="2" t="s">
        <v>13</v>
      </c>
      <c r="D175" s="3">
        <v>42937</v>
      </c>
      <c r="E175" s="2" t="s">
        <v>813</v>
      </c>
      <c r="F175" s="2" t="s">
        <v>814</v>
      </c>
      <c r="G175" s="10">
        <v>72409.179999999993</v>
      </c>
      <c r="H175" t="str">
        <v>Hr</v>
      </c>
      <c r="I175" t="str">
        <v>Theodore Jones Jr.</v>
      </c>
      <c r="J175" t="str">
        <v>crystalwilliams@thomas.net</v>
      </c>
      <c r="K175" t="str">
        <f t="shared" si="9"/>
        <v>21-07-2017</v>
      </c>
      <c r="L175" s="19">
        <f t="shared" si="8"/>
        <v>72409.179999999993</v>
      </c>
      <c r="M175" s="10" t="str">
        <v>HR</v>
      </c>
      <c r="N175" s="2" t="str">
        <f t="shared" si="10"/>
        <v>Has Email</v>
      </c>
      <c r="O175" t="str">
        <f t="shared" si="11"/>
        <v>Theodore Jones Jr.</v>
      </c>
    </row>
    <row r="176" spans="1:15" x14ac:dyDescent="0.4">
      <c r="A176" s="2" t="s">
        <v>815</v>
      </c>
      <c r="B176" s="2" t="s">
        <v>816</v>
      </c>
      <c r="C176" s="2" t="s">
        <v>13</v>
      </c>
      <c r="D176" s="3">
        <v>43294</v>
      </c>
      <c r="E176" s="2" t="s">
        <v>817</v>
      </c>
      <c r="F176" s="2" t="s">
        <v>818</v>
      </c>
      <c r="G176" s="10">
        <v>119654.69</v>
      </c>
      <c r="H176" t="str">
        <v>Hr</v>
      </c>
      <c r="I176" t="str">
        <v>Michael Farrell</v>
      </c>
      <c r="J176" t="str">
        <v>shanehaney@jackson-greer.org</v>
      </c>
      <c r="K176" t="str">
        <f t="shared" si="9"/>
        <v>13-07-2018</v>
      </c>
      <c r="L176" s="19">
        <f t="shared" si="8"/>
        <v>119654.69</v>
      </c>
      <c r="M176" s="10" t="str">
        <v>HR</v>
      </c>
      <c r="N176" s="2" t="str">
        <f t="shared" si="10"/>
        <v>Has Email</v>
      </c>
      <c r="O176" t="str">
        <f t="shared" si="11"/>
        <v>Michael Farrell</v>
      </c>
    </row>
    <row r="177" spans="1:15" x14ac:dyDescent="0.4">
      <c r="A177" s="2" t="s">
        <v>819</v>
      </c>
      <c r="B177" s="2" t="s">
        <v>820</v>
      </c>
      <c r="C177" s="2" t="s">
        <v>41</v>
      </c>
      <c r="D177" s="3">
        <v>44841</v>
      </c>
      <c r="E177" s="2" t="s">
        <v>821</v>
      </c>
      <c r="F177" s="2" t="s">
        <v>822</v>
      </c>
      <c r="G177" s="10">
        <v>90928.16</v>
      </c>
      <c r="H177" t="str">
        <v>Sales</v>
      </c>
      <c r="I177" t="str">
        <v>Patricia Le</v>
      </c>
      <c r="J177" t="str">
        <v>cindydixon@ramsey.info</v>
      </c>
      <c r="K177" t="str">
        <f t="shared" si="9"/>
        <v>07-10-2022</v>
      </c>
      <c r="L177" s="19">
        <f t="shared" si="8"/>
        <v>90928.16</v>
      </c>
      <c r="M177" s="10" t="str">
        <v>Sales</v>
      </c>
      <c r="N177" s="2" t="str">
        <f t="shared" si="10"/>
        <v>Has Email</v>
      </c>
      <c r="O177" t="str">
        <f t="shared" si="11"/>
        <v>Patricia Le</v>
      </c>
    </row>
    <row r="178" spans="1:15" x14ac:dyDescent="0.4">
      <c r="A178" s="2" t="s">
        <v>823</v>
      </c>
      <c r="B178" s="2" t="s">
        <v>824</v>
      </c>
      <c r="C178" s="2" t="s">
        <v>9</v>
      </c>
      <c r="D178" s="3">
        <v>45279</v>
      </c>
      <c r="E178" s="2" t="s">
        <v>825</v>
      </c>
      <c r="F178" s="2" t="s">
        <v>826</v>
      </c>
      <c r="G178" s="10">
        <v>106018.5</v>
      </c>
      <c r="H178" t="str">
        <v>Operations</v>
      </c>
      <c r="I178" t="str">
        <v>Jesse Perry</v>
      </c>
      <c r="J178" t="str">
        <v>thompsonrachel@williams.com</v>
      </c>
      <c r="K178" t="str">
        <f t="shared" si="9"/>
        <v>19-12-2023</v>
      </c>
      <c r="L178" s="19">
        <f t="shared" si="8"/>
        <v>106018.5</v>
      </c>
      <c r="M178" s="10" t="str">
        <v>Operations</v>
      </c>
      <c r="N178" s="2" t="str">
        <f t="shared" si="10"/>
        <v>Has Email</v>
      </c>
      <c r="O178" t="str">
        <f t="shared" si="11"/>
        <v>Jesse Perry</v>
      </c>
    </row>
    <row r="179" spans="1:15" x14ac:dyDescent="0.4">
      <c r="A179" s="2" t="s">
        <v>827</v>
      </c>
      <c r="B179" s="2" t="s">
        <v>828</v>
      </c>
      <c r="C179" s="2" t="s">
        <v>29</v>
      </c>
      <c r="D179" s="3">
        <v>43552</v>
      </c>
      <c r="E179" s="2" t="s">
        <v>829</v>
      </c>
      <c r="F179" s="2" t="s">
        <v>830</v>
      </c>
      <c r="G179" s="10">
        <v>41402.35</v>
      </c>
      <c r="H179" t="str">
        <v>Finance</v>
      </c>
      <c r="I179" t="str">
        <v>Jeffery Ortega</v>
      </c>
      <c r="J179" t="str">
        <v>mhopkins@carey.biz</v>
      </c>
      <c r="K179" t="str">
        <f t="shared" si="9"/>
        <v>28-03-2019</v>
      </c>
      <c r="L179" s="19">
        <f t="shared" si="8"/>
        <v>41402.35</v>
      </c>
      <c r="M179" s="10" t="str">
        <v>Finance</v>
      </c>
      <c r="N179" s="2" t="str">
        <f t="shared" si="10"/>
        <v>Has Email</v>
      </c>
      <c r="O179" t="str">
        <f t="shared" si="11"/>
        <v>Jeffery Ortega</v>
      </c>
    </row>
    <row r="180" spans="1:15" x14ac:dyDescent="0.4">
      <c r="A180" s="2" t="s">
        <v>831</v>
      </c>
      <c r="B180" s="2" t="s">
        <v>832</v>
      </c>
      <c r="C180" s="2" t="s">
        <v>48</v>
      </c>
      <c r="D180" s="3">
        <v>44097</v>
      </c>
      <c r="E180" s="2" t="s">
        <v>833</v>
      </c>
      <c r="F180" s="2" t="s">
        <v>834</v>
      </c>
      <c r="G180" s="10">
        <v>119739.93</v>
      </c>
      <c r="H180" t="str">
        <v>Marketing</v>
      </c>
      <c r="I180" t="str">
        <v>Christian Leblanc</v>
      </c>
      <c r="J180" t="str">
        <v>nancy86@gmail.com</v>
      </c>
      <c r="K180" t="str">
        <f t="shared" si="9"/>
        <v>23-09-2020</v>
      </c>
      <c r="L180" s="19">
        <f t="shared" si="8"/>
        <v>119739.93</v>
      </c>
      <c r="M180" s="10" t="str">
        <v>Marketing</v>
      </c>
      <c r="N180" s="2" t="str">
        <f t="shared" si="10"/>
        <v>Has Email</v>
      </c>
      <c r="O180" t="str">
        <f t="shared" si="11"/>
        <v>Christian Leblanc</v>
      </c>
    </row>
    <row r="181" spans="1:15" x14ac:dyDescent="0.4">
      <c r="A181" s="2" t="s">
        <v>835</v>
      </c>
      <c r="B181" s="2" t="s">
        <v>836</v>
      </c>
      <c r="C181" s="2" t="s">
        <v>41</v>
      </c>
      <c r="D181" s="3">
        <v>44086</v>
      </c>
      <c r="E181" s="2" t="s">
        <v>837</v>
      </c>
      <c r="F181" s="2" t="s">
        <v>838</v>
      </c>
      <c r="G181" s="10">
        <v>77249.73</v>
      </c>
      <c r="H181" t="str">
        <v>Sales</v>
      </c>
      <c r="I181" t="str">
        <v>Parker Cain</v>
      </c>
      <c r="J181" t="str">
        <v>eanderson@kent.com</v>
      </c>
      <c r="K181" t="str">
        <f t="shared" si="9"/>
        <v>12-09-2020</v>
      </c>
      <c r="L181" s="19">
        <f t="shared" si="8"/>
        <v>77249.73</v>
      </c>
      <c r="M181" s="10" t="str">
        <v>Sales</v>
      </c>
      <c r="N181" s="2" t="str">
        <f t="shared" si="10"/>
        <v>Has Email</v>
      </c>
      <c r="O181" t="str">
        <f t="shared" si="11"/>
        <v>Parker Cain</v>
      </c>
    </row>
    <row r="182" spans="1:15" x14ac:dyDescent="0.4">
      <c r="A182" s="2" t="s">
        <v>842</v>
      </c>
      <c r="B182" s="2" t="s">
        <v>843</v>
      </c>
      <c r="C182" s="2" t="s">
        <v>48</v>
      </c>
      <c r="D182" s="3">
        <v>43400</v>
      </c>
      <c r="E182" s="2" t="s">
        <v>844</v>
      </c>
      <c r="F182" s="2" t="s">
        <v>845</v>
      </c>
      <c r="G182" s="10">
        <v>59285.17</v>
      </c>
      <c r="H182" t="str">
        <v>Marketing</v>
      </c>
      <c r="I182" t="str">
        <v>Holly Farmer</v>
      </c>
      <c r="J182" t="str">
        <v>seanlyons@garcia.biz</v>
      </c>
      <c r="K182" t="str">
        <f t="shared" si="9"/>
        <v>27-10-2018</v>
      </c>
      <c r="L182" s="19">
        <f t="shared" si="8"/>
        <v>59285.17</v>
      </c>
      <c r="M182" s="10" t="str">
        <v>Marketing</v>
      </c>
      <c r="N182" s="2" t="str">
        <f t="shared" si="10"/>
        <v>Has Email</v>
      </c>
      <c r="O182" t="str">
        <f t="shared" si="11"/>
        <v>Holly Farmer</v>
      </c>
    </row>
    <row r="183" spans="1:15" x14ac:dyDescent="0.4">
      <c r="A183" s="2" t="s">
        <v>848</v>
      </c>
      <c r="B183" s="2" t="s">
        <v>849</v>
      </c>
      <c r="C183" s="2" t="s">
        <v>41</v>
      </c>
      <c r="D183" s="3">
        <v>44779</v>
      </c>
      <c r="E183" s="2" t="s">
        <v>850</v>
      </c>
      <c r="F183" s="2" t="s">
        <v>851</v>
      </c>
      <c r="G183" s="10">
        <v>119961.53</v>
      </c>
      <c r="H183" t="str">
        <v>Sales</v>
      </c>
      <c r="I183" t="str">
        <v>Debra White</v>
      </c>
      <c r="J183" t="str">
        <v>ramseysarah@mendez-meyer.org</v>
      </c>
      <c r="K183" t="str">
        <f t="shared" si="9"/>
        <v>06-08-2022</v>
      </c>
      <c r="L183" s="19">
        <f t="shared" si="8"/>
        <v>119961.53</v>
      </c>
      <c r="M183" s="10" t="str">
        <v>Sales</v>
      </c>
      <c r="N183" s="2" t="str">
        <f t="shared" si="10"/>
        <v>Has Email</v>
      </c>
      <c r="O183" t="str">
        <f t="shared" si="11"/>
        <v>Debra White</v>
      </c>
    </row>
    <row r="184" spans="1:15" x14ac:dyDescent="0.4">
      <c r="A184" s="2" t="s">
        <v>852</v>
      </c>
      <c r="B184" s="2" t="s">
        <v>853</v>
      </c>
      <c r="C184" s="2" t="s">
        <v>24</v>
      </c>
      <c r="D184" s="3">
        <v>45391</v>
      </c>
      <c r="E184" s="2" t="s">
        <v>854</v>
      </c>
      <c r="F184" s="2" t="s">
        <v>855</v>
      </c>
      <c r="G184" s="10">
        <v>74941.09</v>
      </c>
      <c r="H184" t="str">
        <v>It</v>
      </c>
      <c r="I184" t="str">
        <v>Ellen Morgan</v>
      </c>
      <c r="J184" t="str">
        <v>daniellegonzales@jefferson.com</v>
      </c>
      <c r="K184" t="str">
        <f t="shared" si="9"/>
        <v>09-04-2024</v>
      </c>
      <c r="L184" s="19">
        <f t="shared" si="8"/>
        <v>74941.09</v>
      </c>
      <c r="M184" s="10" t="str">
        <v>IT</v>
      </c>
      <c r="N184" s="2" t="str">
        <f t="shared" si="10"/>
        <v>Has Email</v>
      </c>
      <c r="O184" t="str">
        <f t="shared" si="11"/>
        <v>Ellen Morgan</v>
      </c>
    </row>
    <row r="185" spans="1:15" x14ac:dyDescent="0.4">
      <c r="A185" s="2" t="s">
        <v>857</v>
      </c>
      <c r="B185" s="2" t="s">
        <v>858</v>
      </c>
      <c r="C185" s="2" t="s">
        <v>29</v>
      </c>
      <c r="D185" s="3">
        <v>44111</v>
      </c>
      <c r="E185" s="2" t="s">
        <v>859</v>
      </c>
      <c r="F185" s="2" t="s">
        <v>860</v>
      </c>
      <c r="G185" s="10">
        <v>36906.04</v>
      </c>
      <c r="H185" t="str">
        <v>Finance</v>
      </c>
      <c r="I185" t="str">
        <v>Charles Schultz</v>
      </c>
      <c r="J185" t="str">
        <v>christopherhill@gomez-foster.org</v>
      </c>
      <c r="K185" t="str">
        <f t="shared" si="9"/>
        <v>07-10-2020</v>
      </c>
      <c r="L185" s="19">
        <f t="shared" si="8"/>
        <v>36906.04</v>
      </c>
      <c r="M185" s="10" t="str">
        <v>Finance</v>
      </c>
      <c r="N185" s="2" t="str">
        <f t="shared" si="10"/>
        <v>Has Email</v>
      </c>
      <c r="O185" t="str">
        <f t="shared" si="11"/>
        <v>Charles Schultz</v>
      </c>
    </row>
    <row r="186" spans="1:15" x14ac:dyDescent="0.4">
      <c r="A186" s="2" t="s">
        <v>861</v>
      </c>
      <c r="B186" s="2" t="s">
        <v>862</v>
      </c>
      <c r="C186" s="2" t="s">
        <v>9</v>
      </c>
      <c r="D186" s="3">
        <v>42545</v>
      </c>
      <c r="E186" s="2" t="s">
        <v>863</v>
      </c>
      <c r="F186" s="2" t="s">
        <v>864</v>
      </c>
      <c r="G186" s="10">
        <v>86022.17</v>
      </c>
      <c r="H186" t="str">
        <v>Operations</v>
      </c>
      <c r="I186" t="str">
        <v>Paul Lewis</v>
      </c>
      <c r="J186" t="str">
        <v>mclaughlincasey@dunn.net</v>
      </c>
      <c r="K186" t="str">
        <f t="shared" si="9"/>
        <v>24-06-2016</v>
      </c>
      <c r="L186" s="19">
        <f t="shared" si="8"/>
        <v>86022.17</v>
      </c>
      <c r="M186" s="10" t="str">
        <v>Operations</v>
      </c>
      <c r="N186" s="2" t="str">
        <f t="shared" si="10"/>
        <v>Has Email</v>
      </c>
      <c r="O186" t="str">
        <f t="shared" si="11"/>
        <v>Paul Lewis</v>
      </c>
    </row>
    <row r="187" spans="1:15" x14ac:dyDescent="0.4">
      <c r="A187" s="2" t="s">
        <v>865</v>
      </c>
      <c r="B187" s="2" t="s">
        <v>866</v>
      </c>
      <c r="C187" s="2" t="s">
        <v>9</v>
      </c>
      <c r="D187" s="3">
        <v>42370</v>
      </c>
      <c r="E187" s="2" t="s">
        <v>867</v>
      </c>
      <c r="F187" s="2" t="s">
        <v>868</v>
      </c>
      <c r="G187" s="10">
        <v>69254.149999999994</v>
      </c>
      <c r="H187" t="str">
        <v>Operations</v>
      </c>
      <c r="I187" t="str">
        <v>Glen Wood</v>
      </c>
      <c r="J187" t="str">
        <v>sylvia43@hotmail.com</v>
      </c>
      <c r="K187" t="str">
        <f t="shared" si="9"/>
        <v>01-01-2016</v>
      </c>
      <c r="L187" s="19">
        <f t="shared" si="8"/>
        <v>69254.149999999994</v>
      </c>
      <c r="M187" s="10" t="str">
        <v>Operations</v>
      </c>
      <c r="N187" s="2" t="str">
        <f t="shared" si="10"/>
        <v>Has Email</v>
      </c>
      <c r="O187" t="str">
        <f t="shared" si="11"/>
        <v>Glen Wood</v>
      </c>
    </row>
    <row r="188" spans="1:15" x14ac:dyDescent="0.4">
      <c r="A188" s="2" t="s">
        <v>872</v>
      </c>
      <c r="B188" s="2" t="s">
        <v>873</v>
      </c>
      <c r="C188" s="2" t="s">
        <v>24</v>
      </c>
      <c r="D188" s="3">
        <v>45571</v>
      </c>
      <c r="E188" s="2" t="s">
        <v>874</v>
      </c>
      <c r="F188" s="2" t="s">
        <v>875</v>
      </c>
      <c r="G188" s="10">
        <v>105363.7</v>
      </c>
      <c r="H188" t="str">
        <v>It</v>
      </c>
      <c r="I188" t="str">
        <v>Aimee Turner</v>
      </c>
      <c r="J188" t="str">
        <v>christopher51@velazquez.org</v>
      </c>
      <c r="K188" t="str">
        <f t="shared" si="9"/>
        <v>06-10-2024</v>
      </c>
      <c r="L188" s="19">
        <f t="shared" si="8"/>
        <v>105363.7</v>
      </c>
      <c r="M188" s="10" t="str">
        <v>IT</v>
      </c>
      <c r="N188" s="2" t="str">
        <f t="shared" si="10"/>
        <v>Has Email</v>
      </c>
      <c r="O188" t="str">
        <f t="shared" si="11"/>
        <v>Aimee Turner</v>
      </c>
    </row>
    <row r="189" spans="1:15" x14ac:dyDescent="0.4">
      <c r="A189" s="2" t="s">
        <v>876</v>
      </c>
      <c r="B189" s="2" t="s">
        <v>877</v>
      </c>
      <c r="C189" s="2" t="s">
        <v>48</v>
      </c>
      <c r="D189" s="3">
        <v>45382</v>
      </c>
      <c r="E189" s="2" t="s">
        <v>878</v>
      </c>
      <c r="F189" s="2" t="s">
        <v>879</v>
      </c>
      <c r="G189" s="10">
        <v>43648.68</v>
      </c>
      <c r="H189" t="str">
        <v>Marketing</v>
      </c>
      <c r="I189" t="str">
        <v>Chad Scott</v>
      </c>
      <c r="J189" t="str">
        <v>staceyvega@gmail.com</v>
      </c>
      <c r="K189" t="str">
        <f t="shared" si="9"/>
        <v>31-03-2024</v>
      </c>
      <c r="L189" s="19">
        <f t="shared" si="8"/>
        <v>43648.68</v>
      </c>
      <c r="M189" s="10" t="str">
        <v>Marketing</v>
      </c>
      <c r="N189" s="2" t="str">
        <f t="shared" si="10"/>
        <v>Has Email</v>
      </c>
      <c r="O189" t="str">
        <f t="shared" si="11"/>
        <v>Chad Scott</v>
      </c>
    </row>
    <row r="190" spans="1:15" x14ac:dyDescent="0.4">
      <c r="A190" s="2" t="s">
        <v>880</v>
      </c>
      <c r="B190" s="2" t="s">
        <v>881</v>
      </c>
      <c r="C190" s="2" t="s">
        <v>24</v>
      </c>
      <c r="D190" s="3">
        <v>43146</v>
      </c>
      <c r="E190" s="2" t="s">
        <v>882</v>
      </c>
      <c r="F190" s="2" t="s">
        <v>883</v>
      </c>
      <c r="G190" s="10">
        <v>36891.18</v>
      </c>
      <c r="H190" t="str">
        <v>It</v>
      </c>
      <c r="I190" t="str">
        <v>Adam Burgess</v>
      </c>
      <c r="J190" t="str">
        <v>jimmyallen@yahoo.com</v>
      </c>
      <c r="K190" t="str">
        <f t="shared" si="9"/>
        <v>15-02-2018</v>
      </c>
      <c r="L190" s="19">
        <f t="shared" si="8"/>
        <v>36891.18</v>
      </c>
      <c r="M190" s="10" t="str">
        <v>IT</v>
      </c>
      <c r="N190" s="2" t="str">
        <f t="shared" si="10"/>
        <v>Has Email</v>
      </c>
      <c r="O190" t="str">
        <f t="shared" si="11"/>
        <v>Adam Burgess</v>
      </c>
    </row>
    <row r="191" spans="1:15" x14ac:dyDescent="0.4">
      <c r="A191" s="2" t="s">
        <v>886</v>
      </c>
      <c r="B191" s="2" t="s">
        <v>887</v>
      </c>
      <c r="C191" s="2" t="s">
        <v>41</v>
      </c>
      <c r="D191" s="3">
        <v>43511</v>
      </c>
      <c r="E191" s="2" t="s">
        <v>888</v>
      </c>
      <c r="F191" s="2" t="s">
        <v>889</v>
      </c>
      <c r="G191" s="10">
        <v>41264.06</v>
      </c>
      <c r="H191" t="str">
        <v>Sales</v>
      </c>
      <c r="I191" t="str">
        <v>Thomas Atkins</v>
      </c>
      <c r="J191" t="str">
        <v>christine79@yahoo.com</v>
      </c>
      <c r="K191" t="str">
        <f t="shared" si="9"/>
        <v>15-02-2019</v>
      </c>
      <c r="L191" s="19">
        <f t="shared" si="8"/>
        <v>41264.06</v>
      </c>
      <c r="M191" s="10" t="str">
        <v>Sales</v>
      </c>
      <c r="N191" s="2" t="str">
        <f t="shared" si="10"/>
        <v>Has Email</v>
      </c>
      <c r="O191" t="str">
        <f t="shared" si="11"/>
        <v>Thomas Atkins</v>
      </c>
    </row>
    <row r="192" spans="1:15" x14ac:dyDescent="0.4">
      <c r="A192" s="2" t="s">
        <v>892</v>
      </c>
      <c r="B192" s="2" t="s">
        <v>893</v>
      </c>
      <c r="C192" s="2" t="s">
        <v>13</v>
      </c>
      <c r="D192" s="3">
        <v>43322</v>
      </c>
      <c r="E192" s="2" t="s">
        <v>894</v>
      </c>
      <c r="F192" s="2" t="s">
        <v>895</v>
      </c>
      <c r="G192" s="10">
        <v>32716.17</v>
      </c>
      <c r="H192" t="str">
        <v>Hr</v>
      </c>
      <c r="I192" t="str">
        <v>Robert Montgomery</v>
      </c>
      <c r="J192" t="str">
        <v>cayers@hotmail.com</v>
      </c>
      <c r="K192" t="str">
        <f t="shared" si="9"/>
        <v>10-08-2018</v>
      </c>
      <c r="L192" s="19">
        <f t="shared" si="8"/>
        <v>32716.17</v>
      </c>
      <c r="M192" s="10" t="str">
        <v>HR</v>
      </c>
      <c r="N192" s="2" t="str">
        <f t="shared" si="10"/>
        <v>Has Email</v>
      </c>
      <c r="O192" t="str">
        <f t="shared" si="11"/>
        <v>Robert Montgomery</v>
      </c>
    </row>
    <row r="193" spans="1:15" x14ac:dyDescent="0.4">
      <c r="A193" s="2" t="s">
        <v>896</v>
      </c>
      <c r="B193" s="2" t="s">
        <v>897</v>
      </c>
      <c r="C193" s="2" t="s">
        <v>41</v>
      </c>
      <c r="D193" s="3">
        <v>45164</v>
      </c>
      <c r="E193" s="2" t="s">
        <v>898</v>
      </c>
      <c r="F193" s="2" t="s">
        <v>899</v>
      </c>
      <c r="G193" s="10">
        <v>86857.35</v>
      </c>
      <c r="H193" t="str">
        <v>Sales</v>
      </c>
      <c r="I193" t="str">
        <v>Tamara Davis</v>
      </c>
      <c r="J193" t="str">
        <v>xdalton@gmail.com</v>
      </c>
      <c r="K193" t="str">
        <f t="shared" si="9"/>
        <v>26-08-2023</v>
      </c>
      <c r="L193" s="19">
        <f t="shared" si="8"/>
        <v>86857.35</v>
      </c>
      <c r="M193" s="10" t="str">
        <v>Sales</v>
      </c>
      <c r="N193" s="2" t="str">
        <f t="shared" si="10"/>
        <v>Has Email</v>
      </c>
      <c r="O193" t="str">
        <f t="shared" si="11"/>
        <v>Tamara Davis</v>
      </c>
    </row>
    <row r="194" spans="1:15" x14ac:dyDescent="0.4">
      <c r="A194" s="2" t="s">
        <v>901</v>
      </c>
      <c r="B194" s="2" t="s">
        <v>902</v>
      </c>
      <c r="C194" s="2" t="s">
        <v>41</v>
      </c>
      <c r="D194" s="3">
        <v>43470</v>
      </c>
      <c r="E194" s="2" t="s">
        <v>903</v>
      </c>
      <c r="F194" s="2" t="s">
        <v>904</v>
      </c>
      <c r="G194" s="10">
        <v>72313.62</v>
      </c>
      <c r="H194" t="str">
        <v>Sales</v>
      </c>
      <c r="I194" t="str">
        <v>Jennifer Collins</v>
      </c>
      <c r="J194" t="str">
        <v>wolfesteve@hotmail.com</v>
      </c>
      <c r="K194" t="str">
        <f t="shared" si="9"/>
        <v>05-01-2019</v>
      </c>
      <c r="L194" s="19">
        <f t="shared" ref="L194:L251" si="12">IF(ISBLANK(G194),AVERAGE($G$2:$G$251),G194)</f>
        <v>72313.62</v>
      </c>
      <c r="M194" s="10" t="str">
        <v>Sales</v>
      </c>
      <c r="N194" s="2" t="str">
        <f t="shared" si="10"/>
        <v>Has Email</v>
      </c>
      <c r="O194" t="str">
        <f t="shared" si="11"/>
        <v>Jennifer Collins</v>
      </c>
    </row>
    <row r="195" spans="1:15" x14ac:dyDescent="0.4">
      <c r="A195" s="2" t="s">
        <v>905</v>
      </c>
      <c r="B195" s="2" t="s">
        <v>906</v>
      </c>
      <c r="C195" s="2" t="s">
        <v>24</v>
      </c>
      <c r="D195" s="3">
        <v>42400</v>
      </c>
      <c r="E195" s="2" t="s">
        <v>907</v>
      </c>
      <c r="F195" s="2" t="s">
        <v>908</v>
      </c>
      <c r="G195" s="10">
        <v>85981.19</v>
      </c>
      <c r="H195" t="str">
        <v>It</v>
      </c>
      <c r="I195" t="str">
        <v>Gary Jackson</v>
      </c>
      <c r="J195" t="str">
        <v>craignicolas@nguyen.com</v>
      </c>
      <c r="K195" t="str">
        <f t="shared" ref="K195:K251" si="13">TEXT(D195,"dd-mm-yyyy")</f>
        <v>31-01-2016</v>
      </c>
      <c r="L195" s="19">
        <f t="shared" si="12"/>
        <v>85981.19</v>
      </c>
      <c r="M195" s="10" t="str">
        <v>IT</v>
      </c>
      <c r="N195" s="2" t="str">
        <f t="shared" ref="N195:N251" si="14">IF(ISBLANK(E195),"No Email","Has Email")</f>
        <v>Has Email</v>
      </c>
      <c r="O195" t="str">
        <f t="shared" ref="O195:O251" si="15">CLEAN(B195)</f>
        <v>Gary Jackson</v>
      </c>
    </row>
    <row r="196" spans="1:15" x14ac:dyDescent="0.4">
      <c r="A196" s="2" t="s">
        <v>909</v>
      </c>
      <c r="B196" s="2" t="s">
        <v>910</v>
      </c>
      <c r="C196" s="2" t="s">
        <v>29</v>
      </c>
      <c r="D196" s="3">
        <v>44407</v>
      </c>
      <c r="E196" s="2" t="s">
        <v>911</v>
      </c>
      <c r="F196" s="2" t="s">
        <v>912</v>
      </c>
      <c r="G196" s="10">
        <v>70879.759999999995</v>
      </c>
      <c r="H196" t="str">
        <v>Finance</v>
      </c>
      <c r="I196" t="str">
        <v>Ashley Hicks</v>
      </c>
      <c r="J196" t="str">
        <v>joel79@diaz-jimenez.com</v>
      </c>
      <c r="K196" t="str">
        <f t="shared" si="13"/>
        <v>30-07-2021</v>
      </c>
      <c r="L196" s="19">
        <f t="shared" si="12"/>
        <v>70879.759999999995</v>
      </c>
      <c r="M196" s="10" t="str">
        <v>Finance</v>
      </c>
      <c r="N196" s="2" t="str">
        <f t="shared" si="14"/>
        <v>Has Email</v>
      </c>
      <c r="O196" t="str">
        <f t="shared" si="15"/>
        <v>Ashley Hicks</v>
      </c>
    </row>
    <row r="197" spans="1:15" x14ac:dyDescent="0.4">
      <c r="A197" s="2" t="s">
        <v>915</v>
      </c>
      <c r="B197" s="2" t="s">
        <v>916</v>
      </c>
      <c r="C197" s="2" t="s">
        <v>29</v>
      </c>
      <c r="D197" s="3">
        <v>43513</v>
      </c>
      <c r="E197" s="2" t="s">
        <v>917</v>
      </c>
      <c r="F197" s="2" t="s">
        <v>918</v>
      </c>
      <c r="G197" s="10">
        <v>66762.52</v>
      </c>
      <c r="H197" t="str">
        <v>Finance</v>
      </c>
      <c r="I197" t="str">
        <v>Craig Morrison</v>
      </c>
      <c r="J197" t="str">
        <v>zgonzalez@hotmail.com</v>
      </c>
      <c r="K197" t="str">
        <f t="shared" si="13"/>
        <v>17-02-2019</v>
      </c>
      <c r="L197" s="19">
        <f t="shared" si="12"/>
        <v>66762.52</v>
      </c>
      <c r="M197" s="10" t="str">
        <v>Finance</v>
      </c>
      <c r="N197" s="2" t="str">
        <f t="shared" si="14"/>
        <v>Has Email</v>
      </c>
      <c r="O197" t="str">
        <f t="shared" si="15"/>
        <v>Craig Morrison</v>
      </c>
    </row>
    <row r="198" spans="1:15" x14ac:dyDescent="0.4">
      <c r="A198" s="2" t="s">
        <v>919</v>
      </c>
      <c r="B198" s="2" t="s">
        <v>920</v>
      </c>
      <c r="C198" s="2" t="s">
        <v>24</v>
      </c>
      <c r="D198" s="3">
        <v>43403</v>
      </c>
      <c r="E198" s="2" t="s">
        <v>921</v>
      </c>
      <c r="F198" s="2" t="s">
        <v>922</v>
      </c>
      <c r="G198" s="10">
        <v>69122</v>
      </c>
      <c r="H198" t="str">
        <v>It</v>
      </c>
      <c r="I198" t="str">
        <v>Mary Thompson</v>
      </c>
      <c r="J198" t="str">
        <v>lshaffer@porter-cowan.net</v>
      </c>
      <c r="K198" t="str">
        <f t="shared" si="13"/>
        <v>30-10-2018</v>
      </c>
      <c r="L198" s="19">
        <f t="shared" si="12"/>
        <v>69122</v>
      </c>
      <c r="M198" s="10" t="str">
        <v>IT</v>
      </c>
      <c r="N198" s="2" t="str">
        <f t="shared" si="14"/>
        <v>Has Email</v>
      </c>
      <c r="O198" t="str">
        <f t="shared" si="15"/>
        <v>Mary Thompson</v>
      </c>
    </row>
    <row r="199" spans="1:15" x14ac:dyDescent="0.4">
      <c r="A199" s="2" t="s">
        <v>923</v>
      </c>
      <c r="B199" s="2" t="s">
        <v>924</v>
      </c>
      <c r="C199" s="2" t="s">
        <v>24</v>
      </c>
      <c r="D199" s="3">
        <v>44832</v>
      </c>
      <c r="E199" s="2" t="s">
        <v>925</v>
      </c>
      <c r="F199" s="2" t="s">
        <v>926</v>
      </c>
      <c r="G199" s="10">
        <v>82632.72</v>
      </c>
      <c r="H199" t="str">
        <v>It</v>
      </c>
      <c r="I199" t="str">
        <v>Kathleen Webster</v>
      </c>
      <c r="J199" t="str">
        <v>jevans@hotmail.com</v>
      </c>
      <c r="K199" t="str">
        <f t="shared" si="13"/>
        <v>28-09-2022</v>
      </c>
      <c r="L199" s="19">
        <f t="shared" si="12"/>
        <v>82632.72</v>
      </c>
      <c r="M199" s="10" t="str">
        <v>IT</v>
      </c>
      <c r="N199" s="2" t="str">
        <f t="shared" si="14"/>
        <v>Has Email</v>
      </c>
      <c r="O199" t="str">
        <f t="shared" si="15"/>
        <v>Kathleen Webster</v>
      </c>
    </row>
    <row r="200" spans="1:15" x14ac:dyDescent="0.4">
      <c r="A200" s="2" t="s">
        <v>927</v>
      </c>
      <c r="B200" s="2" t="s">
        <v>928</v>
      </c>
      <c r="C200" s="2" t="s">
        <v>48</v>
      </c>
      <c r="D200" s="3">
        <v>45514</v>
      </c>
      <c r="E200" s="2" t="s">
        <v>929</v>
      </c>
      <c r="F200" s="2" t="s">
        <v>930</v>
      </c>
      <c r="G200" s="10">
        <v>94748.98</v>
      </c>
      <c r="H200" t="str">
        <v>Marketing</v>
      </c>
      <c r="I200" t="str">
        <v>Madison Weber</v>
      </c>
      <c r="J200" t="str">
        <v>kgarcia@lewis.info</v>
      </c>
      <c r="K200" t="str">
        <f t="shared" si="13"/>
        <v>10-08-2024</v>
      </c>
      <c r="L200" s="19">
        <f t="shared" si="12"/>
        <v>94748.98</v>
      </c>
      <c r="M200" s="10" t="str">
        <v>Marketing</v>
      </c>
      <c r="N200" s="2" t="str">
        <f t="shared" si="14"/>
        <v>Has Email</v>
      </c>
      <c r="O200" t="str">
        <f t="shared" si="15"/>
        <v>Madison Weber</v>
      </c>
    </row>
    <row r="201" spans="1:15" x14ac:dyDescent="0.4">
      <c r="A201" s="2" t="s">
        <v>933</v>
      </c>
      <c r="B201" s="2" t="s">
        <v>934</v>
      </c>
      <c r="C201" s="2" t="s">
        <v>24</v>
      </c>
      <c r="D201" s="3">
        <v>44803</v>
      </c>
      <c r="E201" s="2" t="s">
        <v>935</v>
      </c>
      <c r="F201" s="2" t="s">
        <v>936</v>
      </c>
      <c r="G201" s="10">
        <v>55316.01</v>
      </c>
      <c r="H201" t="str">
        <v>It</v>
      </c>
      <c r="I201" t="str">
        <v>Anthony Romero</v>
      </c>
      <c r="J201" t="str">
        <v>tiffanymitchell@nunez-freeman.info</v>
      </c>
      <c r="K201" t="str">
        <f t="shared" si="13"/>
        <v>30-08-2022</v>
      </c>
      <c r="L201" s="19">
        <f t="shared" si="12"/>
        <v>55316.01</v>
      </c>
      <c r="M201" s="10" t="str">
        <v>IT</v>
      </c>
      <c r="N201" s="2" t="str">
        <f t="shared" si="14"/>
        <v>Has Email</v>
      </c>
      <c r="O201" t="str">
        <f t="shared" si="15"/>
        <v>Anthony Romero</v>
      </c>
    </row>
    <row r="202" spans="1:15" x14ac:dyDescent="0.4">
      <c r="A202" s="2" t="s">
        <v>937</v>
      </c>
      <c r="B202" s="2" t="s">
        <v>938</v>
      </c>
      <c r="C202" s="2" t="s">
        <v>41</v>
      </c>
      <c r="D202" s="3">
        <v>42905</v>
      </c>
      <c r="E202" s="2" t="s">
        <v>939</v>
      </c>
      <c r="F202" s="2" t="s">
        <v>940</v>
      </c>
      <c r="G202" s="10">
        <v>36639.58</v>
      </c>
      <c r="H202" t="str">
        <v>Sales</v>
      </c>
      <c r="I202" t="str">
        <v>Jesse Brown</v>
      </c>
      <c r="J202" t="str">
        <v>daustin@frye.com</v>
      </c>
      <c r="K202" t="str">
        <f t="shared" si="13"/>
        <v>19-06-2017</v>
      </c>
      <c r="L202" s="19">
        <f t="shared" si="12"/>
        <v>36639.58</v>
      </c>
      <c r="M202" s="10" t="str">
        <v>Sales</v>
      </c>
      <c r="N202" s="2" t="str">
        <f t="shared" si="14"/>
        <v>Has Email</v>
      </c>
      <c r="O202" t="str">
        <f t="shared" si="15"/>
        <v>Jesse Brown</v>
      </c>
    </row>
    <row r="203" spans="1:15" x14ac:dyDescent="0.4">
      <c r="A203" s="2" t="s">
        <v>942</v>
      </c>
      <c r="B203" s="2" t="s">
        <v>943</v>
      </c>
      <c r="C203" s="2" t="s">
        <v>41</v>
      </c>
      <c r="D203" s="3">
        <v>43186</v>
      </c>
      <c r="E203" s="2" t="s">
        <v>944</v>
      </c>
      <c r="F203" s="2" t="s">
        <v>945</v>
      </c>
      <c r="G203" s="10">
        <v>29807.5</v>
      </c>
      <c r="H203" t="str">
        <v>Sales</v>
      </c>
      <c r="I203" t="str">
        <v>Lisa Hunter</v>
      </c>
      <c r="J203" t="str">
        <v>jeremy54@adams.info</v>
      </c>
      <c r="K203" t="str">
        <f t="shared" si="13"/>
        <v>27-03-2018</v>
      </c>
      <c r="L203" s="19">
        <f t="shared" si="12"/>
        <v>29807.5</v>
      </c>
      <c r="M203" s="10" t="str">
        <v>Sales</v>
      </c>
      <c r="N203" s="2" t="str">
        <f t="shared" si="14"/>
        <v>Has Email</v>
      </c>
      <c r="O203" t="str">
        <f t="shared" si="15"/>
        <v>Lisa Hunter</v>
      </c>
    </row>
    <row r="204" spans="1:15" x14ac:dyDescent="0.4">
      <c r="A204" s="2" t="s">
        <v>946</v>
      </c>
      <c r="B204" s="2" t="s">
        <v>947</v>
      </c>
      <c r="C204" s="2" t="s">
        <v>13</v>
      </c>
      <c r="D204" s="3">
        <v>45279</v>
      </c>
      <c r="E204" s="2" t="s">
        <v>948</v>
      </c>
      <c r="F204" s="2" t="s">
        <v>949</v>
      </c>
      <c r="G204" s="10">
        <v>107095.57</v>
      </c>
      <c r="H204" t="str">
        <v>Hr</v>
      </c>
      <c r="I204" t="str">
        <v>Julian Conner</v>
      </c>
      <c r="J204" t="str">
        <v>lgutierrez@gmail.com</v>
      </c>
      <c r="K204" t="str">
        <f t="shared" si="13"/>
        <v>19-12-2023</v>
      </c>
      <c r="L204" s="19">
        <f t="shared" si="12"/>
        <v>107095.57</v>
      </c>
      <c r="M204" s="10" t="str">
        <v>HR</v>
      </c>
      <c r="N204" s="2" t="str">
        <f t="shared" si="14"/>
        <v>Has Email</v>
      </c>
      <c r="O204" t="str">
        <f t="shared" si="15"/>
        <v>Julian Conner</v>
      </c>
    </row>
    <row r="205" spans="1:15" x14ac:dyDescent="0.4">
      <c r="A205" s="2" t="s">
        <v>951</v>
      </c>
      <c r="B205" s="2" t="s">
        <v>952</v>
      </c>
      <c r="C205" s="2" t="s">
        <v>41</v>
      </c>
      <c r="D205" s="3">
        <v>43854</v>
      </c>
      <c r="E205" s="2" t="s">
        <v>953</v>
      </c>
      <c r="F205" s="2" t="s">
        <v>954</v>
      </c>
      <c r="G205" s="10">
        <v>102280.4</v>
      </c>
      <c r="H205" t="str">
        <v>Sales</v>
      </c>
      <c r="I205" t="str">
        <v>Erica Alvarez</v>
      </c>
      <c r="J205" t="str">
        <v>bkelley@warren-ferrell.com</v>
      </c>
      <c r="K205" t="str">
        <f t="shared" si="13"/>
        <v>24-01-2020</v>
      </c>
      <c r="L205" s="19">
        <f t="shared" si="12"/>
        <v>102280.4</v>
      </c>
      <c r="M205" s="10" t="str">
        <v>Sales</v>
      </c>
      <c r="N205" s="2" t="str">
        <f t="shared" si="14"/>
        <v>Has Email</v>
      </c>
      <c r="O205" t="str">
        <f t="shared" si="15"/>
        <v>Erica Alvarez</v>
      </c>
    </row>
    <row r="206" spans="1:15" x14ac:dyDescent="0.4">
      <c r="A206" s="2" t="s">
        <v>956</v>
      </c>
      <c r="B206" s="2" t="s">
        <v>957</v>
      </c>
      <c r="C206" s="2" t="s">
        <v>9</v>
      </c>
      <c r="D206" s="3">
        <v>43933</v>
      </c>
      <c r="E206" s="2" t="s">
        <v>958</v>
      </c>
      <c r="F206" s="2" t="s">
        <v>959</v>
      </c>
      <c r="G206" s="10">
        <v>72335.23</v>
      </c>
      <c r="H206" t="str">
        <v>Operations</v>
      </c>
      <c r="I206" t="str">
        <v>Gwendolyn Klein</v>
      </c>
      <c r="J206" t="str">
        <v>johnmitchell@hotmail.com</v>
      </c>
      <c r="K206" t="str">
        <f t="shared" si="13"/>
        <v>12-04-2020</v>
      </c>
      <c r="L206" s="19">
        <f t="shared" si="12"/>
        <v>72335.23</v>
      </c>
      <c r="M206" s="10" t="str">
        <v>Operations</v>
      </c>
      <c r="N206" s="2" t="str">
        <f t="shared" si="14"/>
        <v>Has Email</v>
      </c>
      <c r="O206" t="str">
        <f t="shared" si="15"/>
        <v>Gwendolyn Klein</v>
      </c>
    </row>
    <row r="207" spans="1:15" x14ac:dyDescent="0.4">
      <c r="A207" s="2" t="s">
        <v>960</v>
      </c>
      <c r="B207" s="2" t="s">
        <v>961</v>
      </c>
      <c r="C207" s="2" t="s">
        <v>13</v>
      </c>
      <c r="D207" s="3">
        <v>44696</v>
      </c>
      <c r="E207" s="2" t="s">
        <v>962</v>
      </c>
      <c r="F207" s="2" t="s">
        <v>963</v>
      </c>
      <c r="G207" s="10">
        <v>72382.17</v>
      </c>
      <c r="H207" t="str">
        <v>Hr</v>
      </c>
      <c r="I207" t="str">
        <v>Carrie Wright</v>
      </c>
      <c r="J207" t="str">
        <v>alisonjackson@alvarado.info</v>
      </c>
      <c r="K207" t="str">
        <f t="shared" si="13"/>
        <v>15-05-2022</v>
      </c>
      <c r="L207" s="19">
        <f t="shared" si="12"/>
        <v>72382.17</v>
      </c>
      <c r="M207" s="10" t="str">
        <v>HR</v>
      </c>
      <c r="N207" s="2" t="str">
        <f t="shared" si="14"/>
        <v>Has Email</v>
      </c>
      <c r="O207" t="str">
        <f t="shared" si="15"/>
        <v>Carrie Wright</v>
      </c>
    </row>
    <row r="208" spans="1:15" x14ac:dyDescent="0.4">
      <c r="A208" s="2" t="s">
        <v>965</v>
      </c>
      <c r="B208" s="2" t="s">
        <v>966</v>
      </c>
      <c r="C208" s="2" t="s">
        <v>24</v>
      </c>
      <c r="D208" s="3">
        <v>45088</v>
      </c>
      <c r="E208" s="2" t="s">
        <v>967</v>
      </c>
      <c r="F208" s="2" t="s">
        <v>968</v>
      </c>
      <c r="G208" s="10">
        <v>114797.12</v>
      </c>
      <c r="H208" t="str">
        <v>It</v>
      </c>
      <c r="I208" t="str">
        <v>Jake Campbell</v>
      </c>
      <c r="J208" t="str">
        <v>omills@hotmail.com</v>
      </c>
      <c r="K208" t="str">
        <f t="shared" si="13"/>
        <v>11-06-2023</v>
      </c>
      <c r="L208" s="19">
        <f t="shared" si="12"/>
        <v>114797.12</v>
      </c>
      <c r="M208" s="10" t="str">
        <v>IT</v>
      </c>
      <c r="N208" s="2" t="str">
        <f t="shared" si="14"/>
        <v>Has Email</v>
      </c>
      <c r="O208" t="str">
        <f t="shared" si="15"/>
        <v>Jake Campbell</v>
      </c>
    </row>
    <row r="209" spans="1:15" x14ac:dyDescent="0.4">
      <c r="A209" s="2" t="s">
        <v>970</v>
      </c>
      <c r="B209" s="2" t="s">
        <v>971</v>
      </c>
      <c r="C209" s="2" t="s">
        <v>9</v>
      </c>
      <c r="D209" s="3">
        <v>44189</v>
      </c>
      <c r="E209" s="2" t="s">
        <v>972</v>
      </c>
      <c r="F209" s="2" t="s">
        <v>973</v>
      </c>
      <c r="G209" s="10">
        <v>29801.34</v>
      </c>
      <c r="H209" t="str">
        <v>Operations</v>
      </c>
      <c r="I209" t="str">
        <v>Michael Mitchell</v>
      </c>
      <c r="J209" t="str">
        <v>mauriceharrison@watts.info</v>
      </c>
      <c r="K209" t="str">
        <f t="shared" si="13"/>
        <v>24-12-2020</v>
      </c>
      <c r="L209" s="19">
        <f t="shared" si="12"/>
        <v>29801.34</v>
      </c>
      <c r="M209" s="10" t="str">
        <v>Operations</v>
      </c>
      <c r="N209" s="2" t="str">
        <f t="shared" si="14"/>
        <v>Has Email</v>
      </c>
      <c r="O209" t="str">
        <f t="shared" si="15"/>
        <v>Michael Mitchell</v>
      </c>
    </row>
    <row r="210" spans="1:15" x14ac:dyDescent="0.4">
      <c r="A210" s="2" t="s">
        <v>974</v>
      </c>
      <c r="B210" s="2" t="s">
        <v>975</v>
      </c>
      <c r="C210" s="2" t="s">
        <v>41</v>
      </c>
      <c r="D210" s="3">
        <v>45932</v>
      </c>
      <c r="E210" s="2" t="s">
        <v>976</v>
      </c>
      <c r="F210" s="2" t="s">
        <v>977</v>
      </c>
      <c r="G210" s="10">
        <v>81764.28</v>
      </c>
      <c r="H210" t="str">
        <v>Sales</v>
      </c>
      <c r="I210" t="str">
        <v>Mary Escobar</v>
      </c>
      <c r="J210" t="str">
        <v>cannonlauren@hotmail.com</v>
      </c>
      <c r="K210" t="str">
        <f t="shared" si="13"/>
        <v>02-10-2025</v>
      </c>
      <c r="L210" s="19">
        <f t="shared" si="12"/>
        <v>81764.28</v>
      </c>
      <c r="M210" s="10" t="str">
        <v>Sales</v>
      </c>
      <c r="N210" s="2" t="str">
        <f t="shared" si="14"/>
        <v>Has Email</v>
      </c>
      <c r="O210" t="str">
        <f t="shared" si="15"/>
        <v>Mary Escobar</v>
      </c>
    </row>
    <row r="211" spans="1:15" x14ac:dyDescent="0.4">
      <c r="A211" s="2" t="s">
        <v>978</v>
      </c>
      <c r="B211" s="2" t="s">
        <v>979</v>
      </c>
      <c r="C211" s="2" t="s">
        <v>24</v>
      </c>
      <c r="D211" s="3">
        <v>42384</v>
      </c>
      <c r="E211" s="2" t="s">
        <v>980</v>
      </c>
      <c r="F211" s="2" t="s">
        <v>981</v>
      </c>
      <c r="G211" s="10">
        <v>105481.37</v>
      </c>
      <c r="H211" t="str">
        <v>It</v>
      </c>
      <c r="I211" t="str">
        <v>Gregory Ponce</v>
      </c>
      <c r="J211" t="str">
        <v>josehenderson@gmail.com</v>
      </c>
      <c r="K211" t="str">
        <f t="shared" si="13"/>
        <v>15-01-2016</v>
      </c>
      <c r="L211" s="19">
        <f t="shared" si="12"/>
        <v>105481.37</v>
      </c>
      <c r="M211" s="10" t="str">
        <v>IT</v>
      </c>
      <c r="N211" s="2" t="str">
        <f t="shared" si="14"/>
        <v>Has Email</v>
      </c>
      <c r="O211" t="str">
        <f t="shared" si="15"/>
        <v>Gregory Ponce</v>
      </c>
    </row>
    <row r="212" spans="1:15" x14ac:dyDescent="0.4">
      <c r="A212" s="2" t="s">
        <v>982</v>
      </c>
      <c r="B212" s="2" t="s">
        <v>983</v>
      </c>
      <c r="C212" s="2" t="s">
        <v>24</v>
      </c>
      <c r="D212" s="3">
        <v>43938</v>
      </c>
      <c r="E212" s="2" t="s">
        <v>984</v>
      </c>
      <c r="F212" s="2" t="s">
        <v>985</v>
      </c>
      <c r="G212" s="10">
        <v>37723.82</v>
      </c>
      <c r="H212" t="str">
        <v>It</v>
      </c>
      <c r="I212" t="str">
        <v>Jenna Larson</v>
      </c>
      <c r="J212" t="str">
        <v>deborah84@yahoo.com</v>
      </c>
      <c r="K212" t="str">
        <f t="shared" si="13"/>
        <v>17-04-2020</v>
      </c>
      <c r="L212" s="19">
        <f t="shared" si="12"/>
        <v>37723.82</v>
      </c>
      <c r="M212" s="10" t="str">
        <v>IT</v>
      </c>
      <c r="N212" s="2" t="str">
        <f t="shared" si="14"/>
        <v>Has Email</v>
      </c>
      <c r="O212" t="str">
        <f t="shared" si="15"/>
        <v>Jenna Larson</v>
      </c>
    </row>
    <row r="213" spans="1:15" x14ac:dyDescent="0.4">
      <c r="A213" s="2" t="s">
        <v>986</v>
      </c>
      <c r="B213" s="2" t="s">
        <v>987</v>
      </c>
      <c r="C213" s="2" t="s">
        <v>41</v>
      </c>
      <c r="D213" s="3">
        <v>44547</v>
      </c>
      <c r="E213" s="2" t="s">
        <v>988</v>
      </c>
      <c r="F213" s="2" t="s">
        <v>989</v>
      </c>
      <c r="G213" s="10">
        <v>94113.27</v>
      </c>
      <c r="H213" t="str">
        <v>Sales</v>
      </c>
      <c r="I213" t="str">
        <v>Emily Bennett</v>
      </c>
      <c r="J213" t="str">
        <v>whitekeith@gibson.info</v>
      </c>
      <c r="K213" t="str">
        <f t="shared" si="13"/>
        <v>17-12-2021</v>
      </c>
      <c r="L213" s="19">
        <f t="shared" si="12"/>
        <v>94113.27</v>
      </c>
      <c r="M213" s="10" t="str">
        <v>Sales</v>
      </c>
      <c r="N213" s="2" t="str">
        <f t="shared" si="14"/>
        <v>Has Email</v>
      </c>
      <c r="O213" t="str">
        <f t="shared" si="15"/>
        <v>Emily Bennett</v>
      </c>
    </row>
    <row r="214" spans="1:15" x14ac:dyDescent="0.4">
      <c r="A214" s="2" t="s">
        <v>990</v>
      </c>
      <c r="B214" s="2" t="s">
        <v>991</v>
      </c>
      <c r="C214" s="2" t="s">
        <v>29</v>
      </c>
      <c r="D214" s="3">
        <v>43781</v>
      </c>
      <c r="E214" s="2" t="s">
        <v>992</v>
      </c>
      <c r="F214" s="2" t="s">
        <v>993</v>
      </c>
      <c r="G214" s="10">
        <v>59764.05</v>
      </c>
      <c r="H214" t="str">
        <v>Finance</v>
      </c>
      <c r="I214" t="str">
        <v>Robin Santiago</v>
      </c>
      <c r="J214" t="str">
        <v>andrew08@lopez.com</v>
      </c>
      <c r="K214" t="str">
        <f t="shared" si="13"/>
        <v>12-11-2019</v>
      </c>
      <c r="L214" s="19">
        <f t="shared" si="12"/>
        <v>59764.05</v>
      </c>
      <c r="M214" s="10" t="str">
        <v>Finance</v>
      </c>
      <c r="N214" s="2" t="str">
        <f t="shared" si="14"/>
        <v>Has Email</v>
      </c>
      <c r="O214" t="str">
        <f t="shared" si="15"/>
        <v>Robin Santiago</v>
      </c>
    </row>
    <row r="215" spans="1:15" x14ac:dyDescent="0.4">
      <c r="A215" s="2" t="s">
        <v>994</v>
      </c>
      <c r="B215" s="2" t="s">
        <v>995</v>
      </c>
      <c r="C215" s="2" t="s">
        <v>24</v>
      </c>
      <c r="D215" s="3">
        <v>43047</v>
      </c>
      <c r="E215" s="2" t="s">
        <v>996</v>
      </c>
      <c r="F215" s="2" t="s">
        <v>997</v>
      </c>
      <c r="G215" s="10">
        <v>59439.76</v>
      </c>
      <c r="H215" t="str">
        <v>It</v>
      </c>
      <c r="I215" t="str">
        <v>Maria Henderson</v>
      </c>
      <c r="J215" t="str">
        <v>alexisrobinson@collins-lloyd.com</v>
      </c>
      <c r="K215" t="str">
        <f t="shared" si="13"/>
        <v>08-11-2017</v>
      </c>
      <c r="L215" s="19">
        <f t="shared" si="12"/>
        <v>59439.76</v>
      </c>
      <c r="M215" s="10" t="str">
        <v>IT</v>
      </c>
      <c r="N215" s="2" t="str">
        <f t="shared" si="14"/>
        <v>Has Email</v>
      </c>
      <c r="O215" t="str">
        <f t="shared" si="15"/>
        <v>Maria Henderson</v>
      </c>
    </row>
    <row r="216" spans="1:15" x14ac:dyDescent="0.4">
      <c r="A216" s="2" t="s">
        <v>998</v>
      </c>
      <c r="B216" s="2" t="s">
        <v>999</v>
      </c>
      <c r="C216" s="2" t="s">
        <v>29</v>
      </c>
      <c r="D216" s="3">
        <v>45204</v>
      </c>
      <c r="E216" s="2" t="s">
        <v>1000</v>
      </c>
      <c r="F216" s="2" t="s">
        <v>1001</v>
      </c>
      <c r="G216" s="10">
        <v>31985.52</v>
      </c>
      <c r="H216" t="str">
        <v>Finance</v>
      </c>
      <c r="I216" t="str">
        <v>Jack White</v>
      </c>
      <c r="J216" t="str">
        <v>riveramegan@gmail.com</v>
      </c>
      <c r="K216" t="str">
        <f t="shared" si="13"/>
        <v>05-10-2023</v>
      </c>
      <c r="L216" s="19">
        <f t="shared" si="12"/>
        <v>31985.52</v>
      </c>
      <c r="M216" s="10" t="str">
        <v>Finance</v>
      </c>
      <c r="N216" s="2" t="str">
        <f t="shared" si="14"/>
        <v>Has Email</v>
      </c>
      <c r="O216" t="str">
        <f t="shared" si="15"/>
        <v>Jack White</v>
      </c>
    </row>
    <row r="217" spans="1:15" x14ac:dyDescent="0.4">
      <c r="A217" s="2" t="s">
        <v>1002</v>
      </c>
      <c r="B217" s="2" t="s">
        <v>1003</v>
      </c>
      <c r="C217" s="2" t="s">
        <v>9</v>
      </c>
      <c r="D217" s="3">
        <v>44219</v>
      </c>
      <c r="E217" s="2" t="s">
        <v>1004</v>
      </c>
      <c r="F217" s="2" t="s">
        <v>1005</v>
      </c>
      <c r="G217" s="10">
        <v>97618.39</v>
      </c>
      <c r="H217" t="str">
        <v>Operations</v>
      </c>
      <c r="I217" t="str">
        <v>Travis Tucker</v>
      </c>
      <c r="J217" t="str">
        <v>kimberly18@white-huang.com</v>
      </c>
      <c r="K217" t="str">
        <f t="shared" si="13"/>
        <v>23-01-2021</v>
      </c>
      <c r="L217" s="19">
        <f t="shared" si="12"/>
        <v>97618.39</v>
      </c>
      <c r="M217" s="10" t="str">
        <v>Operations</v>
      </c>
      <c r="N217" s="2" t="str">
        <f t="shared" si="14"/>
        <v>Has Email</v>
      </c>
      <c r="O217" t="str">
        <f t="shared" si="15"/>
        <v>Travis Tucker</v>
      </c>
    </row>
    <row r="218" spans="1:15" x14ac:dyDescent="0.4">
      <c r="A218" s="2" t="s">
        <v>1007</v>
      </c>
      <c r="B218" s="2" t="s">
        <v>1008</v>
      </c>
      <c r="C218" s="2" t="s">
        <v>41</v>
      </c>
      <c r="D218" s="3">
        <v>45435</v>
      </c>
      <c r="E218" s="2" t="s">
        <v>1009</v>
      </c>
      <c r="F218" s="2" t="s">
        <v>1010</v>
      </c>
      <c r="G218" s="10">
        <v>62420.85</v>
      </c>
      <c r="H218" t="str">
        <v>Sales</v>
      </c>
      <c r="I218" t="str">
        <v>Sophia Johnson</v>
      </c>
      <c r="J218" t="str">
        <v>boydtina@yahoo.com</v>
      </c>
      <c r="K218" t="str">
        <f t="shared" si="13"/>
        <v>23-05-2024</v>
      </c>
      <c r="L218" s="19">
        <f t="shared" si="12"/>
        <v>62420.85</v>
      </c>
      <c r="M218" s="10" t="str">
        <v>Sales</v>
      </c>
      <c r="N218" s="2" t="str">
        <f t="shared" si="14"/>
        <v>Has Email</v>
      </c>
      <c r="O218" t="str">
        <f t="shared" si="15"/>
        <v>Sophia Johnson</v>
      </c>
    </row>
    <row r="219" spans="1:15" x14ac:dyDescent="0.4">
      <c r="A219" s="2" t="s">
        <v>1011</v>
      </c>
      <c r="B219" s="2" t="s">
        <v>1012</v>
      </c>
      <c r="C219" s="2" t="s">
        <v>48</v>
      </c>
      <c r="D219" s="3">
        <v>44245</v>
      </c>
      <c r="E219" s="2" t="s">
        <v>1013</v>
      </c>
      <c r="F219" s="2" t="s">
        <v>1014</v>
      </c>
      <c r="G219" s="10">
        <v>77994.02</v>
      </c>
      <c r="H219" t="str">
        <v>Marketing</v>
      </c>
      <c r="I219" t="str">
        <v>Ralph Anderson</v>
      </c>
      <c r="J219" t="str">
        <v>sharon20@hotmail.com</v>
      </c>
      <c r="K219" t="str">
        <f t="shared" si="13"/>
        <v>18-02-2021</v>
      </c>
      <c r="L219" s="19">
        <f t="shared" si="12"/>
        <v>77994.02</v>
      </c>
      <c r="M219" s="10" t="str">
        <v>Marketing</v>
      </c>
      <c r="N219" s="2" t="str">
        <f t="shared" si="14"/>
        <v>Has Email</v>
      </c>
      <c r="O219" t="str">
        <f t="shared" si="15"/>
        <v>Ralph Anderson</v>
      </c>
    </row>
    <row r="220" spans="1:15" x14ac:dyDescent="0.4">
      <c r="A220" s="2" t="s">
        <v>1016</v>
      </c>
      <c r="B220" s="2" t="s">
        <v>1017</v>
      </c>
      <c r="C220" s="2" t="s">
        <v>13</v>
      </c>
      <c r="D220" s="3">
        <v>44146</v>
      </c>
      <c r="E220" s="2" t="s">
        <v>1018</v>
      </c>
      <c r="F220" s="2" t="s">
        <v>1019</v>
      </c>
      <c r="G220" s="10">
        <v>82233.98</v>
      </c>
      <c r="H220" t="str">
        <v>Hr</v>
      </c>
      <c r="I220" t="str">
        <v>Rhonda Martin</v>
      </c>
      <c r="J220" t="str">
        <v>cynthianguyen@bauer.com</v>
      </c>
      <c r="K220" t="str">
        <f t="shared" si="13"/>
        <v>11-11-2020</v>
      </c>
      <c r="L220" s="19">
        <f t="shared" si="12"/>
        <v>82233.98</v>
      </c>
      <c r="M220" s="10" t="str">
        <v>HR</v>
      </c>
      <c r="N220" s="2" t="str">
        <f t="shared" si="14"/>
        <v>Has Email</v>
      </c>
      <c r="O220" t="str">
        <f t="shared" si="15"/>
        <v>Rhonda Martin</v>
      </c>
    </row>
    <row r="221" spans="1:15" x14ac:dyDescent="0.4">
      <c r="A221" s="2" t="s">
        <v>1020</v>
      </c>
      <c r="B221" s="2" t="s">
        <v>1021</v>
      </c>
      <c r="C221" s="2" t="s">
        <v>9</v>
      </c>
      <c r="D221" s="3">
        <v>43685</v>
      </c>
      <c r="E221" s="2" t="s">
        <v>1022</v>
      </c>
      <c r="F221" s="2" t="s">
        <v>1023</v>
      </c>
      <c r="G221" s="10">
        <v>28696.83</v>
      </c>
      <c r="H221" t="str">
        <v>Operations</v>
      </c>
      <c r="I221" t="str">
        <v>Jeremy Mitchell</v>
      </c>
      <c r="J221" t="str">
        <v>nathandavis@gmail.com</v>
      </c>
      <c r="K221" t="str">
        <f t="shared" si="13"/>
        <v>08-08-2019</v>
      </c>
      <c r="L221" s="19">
        <f t="shared" si="12"/>
        <v>28696.83</v>
      </c>
      <c r="M221" s="10" t="str">
        <v>Operations</v>
      </c>
      <c r="N221" s="2" t="str">
        <f t="shared" si="14"/>
        <v>Has Email</v>
      </c>
      <c r="O221" t="str">
        <f t="shared" si="15"/>
        <v>Jeremy Mitchell</v>
      </c>
    </row>
    <row r="222" spans="1:15" x14ac:dyDescent="0.4">
      <c r="A222" s="2" t="s">
        <v>1024</v>
      </c>
      <c r="B222" s="2" t="s">
        <v>1025</v>
      </c>
      <c r="C222" s="2" t="s">
        <v>48</v>
      </c>
      <c r="D222" s="3">
        <v>43674</v>
      </c>
      <c r="E222" s="2" t="s">
        <v>1026</v>
      </c>
      <c r="F222" s="2" t="s">
        <v>1027</v>
      </c>
      <c r="G222" s="10">
        <v>101376.76</v>
      </c>
      <c r="H222" t="str">
        <v>Marketing</v>
      </c>
      <c r="I222" t="str">
        <v>Joann Ferguson</v>
      </c>
      <c r="J222" t="str">
        <v>parksmatthew@hotmail.com</v>
      </c>
      <c r="K222" t="str">
        <f t="shared" si="13"/>
        <v>28-07-2019</v>
      </c>
      <c r="L222" s="19">
        <f t="shared" si="12"/>
        <v>101376.76</v>
      </c>
      <c r="M222" s="10" t="str">
        <v>Marketing</v>
      </c>
      <c r="N222" s="2" t="str">
        <f t="shared" si="14"/>
        <v>Has Email</v>
      </c>
      <c r="O222" t="str">
        <f t="shared" si="15"/>
        <v>Joann Ferguson</v>
      </c>
    </row>
    <row r="223" spans="1:15" x14ac:dyDescent="0.4">
      <c r="A223" s="2" t="s">
        <v>1028</v>
      </c>
      <c r="B223" s="2" t="s">
        <v>1029</v>
      </c>
      <c r="C223" s="2" t="s">
        <v>13</v>
      </c>
      <c r="D223" s="3">
        <v>45284</v>
      </c>
      <c r="E223" s="2" t="s">
        <v>1030</v>
      </c>
      <c r="F223" s="2" t="s">
        <v>1031</v>
      </c>
      <c r="G223" s="10">
        <v>56156.76</v>
      </c>
      <c r="H223" t="str">
        <v>Hr</v>
      </c>
      <c r="I223" t="str">
        <v>Holly Valentine</v>
      </c>
      <c r="J223" t="str">
        <v>kellyeric@moody.net</v>
      </c>
      <c r="K223" t="str">
        <f t="shared" si="13"/>
        <v>24-12-2023</v>
      </c>
      <c r="L223" s="19">
        <f t="shared" si="12"/>
        <v>56156.76</v>
      </c>
      <c r="M223" s="10" t="str">
        <v>HR</v>
      </c>
      <c r="N223" s="2" t="str">
        <f t="shared" si="14"/>
        <v>Has Email</v>
      </c>
      <c r="O223" t="str">
        <f t="shared" si="15"/>
        <v>Holly Valentine</v>
      </c>
    </row>
    <row r="224" spans="1:15" x14ac:dyDescent="0.4">
      <c r="A224" s="2" t="s">
        <v>1032</v>
      </c>
      <c r="B224" s="2" t="s">
        <v>1033</v>
      </c>
      <c r="C224" s="2" t="s">
        <v>13</v>
      </c>
      <c r="D224" s="3">
        <v>43264</v>
      </c>
      <c r="E224" s="2" t="s">
        <v>1034</v>
      </c>
      <c r="F224" s="2" t="s">
        <v>1035</v>
      </c>
      <c r="G224" s="10">
        <v>40437.69</v>
      </c>
      <c r="H224" t="str">
        <v>Hr</v>
      </c>
      <c r="I224" t="str">
        <v>Mrs. Diane Reyes</v>
      </c>
      <c r="J224" t="str">
        <v>bquinn@hotmail.com</v>
      </c>
      <c r="K224" t="str">
        <f t="shared" si="13"/>
        <v>13-06-2018</v>
      </c>
      <c r="L224" s="19">
        <f t="shared" si="12"/>
        <v>40437.69</v>
      </c>
      <c r="M224" s="10" t="str">
        <v>HR</v>
      </c>
      <c r="N224" s="2" t="str">
        <f t="shared" si="14"/>
        <v>Has Email</v>
      </c>
      <c r="O224" t="str">
        <f t="shared" si="15"/>
        <v>Mrs. Diane Reyes</v>
      </c>
    </row>
    <row r="225" spans="1:15" x14ac:dyDescent="0.4">
      <c r="A225" s="2" t="s">
        <v>1036</v>
      </c>
      <c r="B225" s="2" t="s">
        <v>1037</v>
      </c>
      <c r="C225" s="2" t="s">
        <v>24</v>
      </c>
      <c r="D225" s="3">
        <v>45140</v>
      </c>
      <c r="E225" s="2" t="s">
        <v>1038</v>
      </c>
      <c r="F225" s="2" t="s">
        <v>1039</v>
      </c>
      <c r="G225" s="10">
        <v>81403.839999999997</v>
      </c>
      <c r="H225" t="str">
        <v>It</v>
      </c>
      <c r="I225" t="str">
        <v>Tracy Montoya</v>
      </c>
      <c r="J225" t="str">
        <v>jennifer40@yahoo.com</v>
      </c>
      <c r="K225" t="str">
        <f t="shared" si="13"/>
        <v>02-08-2023</v>
      </c>
      <c r="L225" s="19">
        <f t="shared" si="12"/>
        <v>81403.839999999997</v>
      </c>
      <c r="M225" s="10" t="str">
        <v>IT</v>
      </c>
      <c r="N225" s="2" t="str">
        <f t="shared" si="14"/>
        <v>Has Email</v>
      </c>
      <c r="O225" t="str">
        <f t="shared" si="15"/>
        <v>Tracy Montoya</v>
      </c>
    </row>
    <row r="226" spans="1:15" x14ac:dyDescent="0.4">
      <c r="A226" s="2" t="s">
        <v>1040</v>
      </c>
      <c r="B226" s="2" t="s">
        <v>1041</v>
      </c>
      <c r="C226" s="2" t="s">
        <v>29</v>
      </c>
      <c r="D226" s="3">
        <v>44634</v>
      </c>
      <c r="E226" s="2" t="s">
        <v>1042</v>
      </c>
      <c r="F226" s="2" t="s">
        <v>1043</v>
      </c>
      <c r="G226" s="10">
        <v>92330.28</v>
      </c>
      <c r="H226" t="str">
        <v>Finance</v>
      </c>
      <c r="I226" t="str">
        <v>Brenda Wright</v>
      </c>
      <c r="J226" t="str">
        <v>amy73@hotmail.com</v>
      </c>
      <c r="K226" t="str">
        <f t="shared" si="13"/>
        <v>14-03-2022</v>
      </c>
      <c r="L226" s="19">
        <f t="shared" si="12"/>
        <v>92330.28</v>
      </c>
      <c r="M226" s="10" t="str">
        <v>Finance</v>
      </c>
      <c r="N226" s="2" t="str">
        <f t="shared" si="14"/>
        <v>Has Email</v>
      </c>
      <c r="O226" t="str">
        <f t="shared" si="15"/>
        <v>Brenda Wright</v>
      </c>
    </row>
    <row r="227" spans="1:15" x14ac:dyDescent="0.4">
      <c r="A227" s="2" t="s">
        <v>1044</v>
      </c>
      <c r="B227" s="2" t="s">
        <v>1045</v>
      </c>
      <c r="C227" s="2" t="s">
        <v>29</v>
      </c>
      <c r="D227" s="3">
        <v>45238</v>
      </c>
      <c r="E227" s="2" t="s">
        <v>1046</v>
      </c>
      <c r="F227" s="2" t="s">
        <v>1047</v>
      </c>
      <c r="G227" s="10">
        <v>118090.31</v>
      </c>
      <c r="H227" t="str">
        <v>Finance</v>
      </c>
      <c r="I227" t="str">
        <v>Phillip Nelson</v>
      </c>
      <c r="J227" t="str">
        <v>bgross@vincent.com</v>
      </c>
      <c r="K227" t="str">
        <f t="shared" si="13"/>
        <v>08-11-2023</v>
      </c>
      <c r="L227" s="19">
        <f t="shared" si="12"/>
        <v>118090.31</v>
      </c>
      <c r="M227" s="10" t="str">
        <v>Finance</v>
      </c>
      <c r="N227" s="2" t="str">
        <f t="shared" si="14"/>
        <v>Has Email</v>
      </c>
      <c r="O227" t="str">
        <f t="shared" si="15"/>
        <v>Phillip Nelson</v>
      </c>
    </row>
    <row r="228" spans="1:15" x14ac:dyDescent="0.4">
      <c r="A228" s="2" t="s">
        <v>1049</v>
      </c>
      <c r="B228" s="2" t="s">
        <v>1050</v>
      </c>
      <c r="C228" s="2" t="s">
        <v>48</v>
      </c>
      <c r="D228" s="3">
        <v>43670</v>
      </c>
      <c r="E228" s="2" t="s">
        <v>1051</v>
      </c>
      <c r="F228" s="2" t="s">
        <v>1052</v>
      </c>
      <c r="G228" s="10">
        <v>81706.41</v>
      </c>
      <c r="H228" t="str">
        <v>Marketing</v>
      </c>
      <c r="I228" t="str">
        <v>Courtney Hayes</v>
      </c>
      <c r="J228" t="str">
        <v>marcus51@mills.com</v>
      </c>
      <c r="K228" t="str">
        <f t="shared" si="13"/>
        <v>24-07-2019</v>
      </c>
      <c r="L228" s="19">
        <f t="shared" si="12"/>
        <v>81706.41</v>
      </c>
      <c r="M228" s="10" t="str">
        <v>Marketing</v>
      </c>
      <c r="N228" s="2" t="str">
        <f t="shared" si="14"/>
        <v>Has Email</v>
      </c>
      <c r="O228" t="str">
        <f t="shared" si="15"/>
        <v>Courtney Hayes</v>
      </c>
    </row>
    <row r="229" spans="1:15" x14ac:dyDescent="0.4">
      <c r="A229" s="2" t="s">
        <v>1054</v>
      </c>
      <c r="B229" s="2" t="s">
        <v>1055</v>
      </c>
      <c r="C229" s="2" t="s">
        <v>9</v>
      </c>
      <c r="D229" s="3">
        <v>42821</v>
      </c>
      <c r="E229" s="2" t="s">
        <v>1056</v>
      </c>
      <c r="F229" s="2" t="s">
        <v>1057</v>
      </c>
      <c r="G229" s="10">
        <v>93533.01</v>
      </c>
      <c r="H229" t="str">
        <v>Operations</v>
      </c>
      <c r="I229" t="str">
        <v>Cynthia Vang</v>
      </c>
      <c r="J229" t="str">
        <v>brandon39@hotmail.com</v>
      </c>
      <c r="K229" t="str">
        <f t="shared" si="13"/>
        <v>27-03-2017</v>
      </c>
      <c r="L229" s="19">
        <f t="shared" si="12"/>
        <v>93533.01</v>
      </c>
      <c r="M229" s="10" t="str">
        <v>Operations</v>
      </c>
      <c r="N229" s="2" t="str">
        <f t="shared" si="14"/>
        <v>Has Email</v>
      </c>
      <c r="O229" t="str">
        <f t="shared" si="15"/>
        <v>Cynthia Vang</v>
      </c>
    </row>
    <row r="230" spans="1:15" x14ac:dyDescent="0.4">
      <c r="A230" s="2" t="s">
        <v>1058</v>
      </c>
      <c r="B230" s="2" t="s">
        <v>1059</v>
      </c>
      <c r="C230" s="2" t="s">
        <v>48</v>
      </c>
      <c r="D230" s="3">
        <v>45578</v>
      </c>
      <c r="E230" s="2" t="s">
        <v>1060</v>
      </c>
      <c r="F230" s="2" t="s">
        <v>1061</v>
      </c>
      <c r="G230" s="10">
        <v>41198.65</v>
      </c>
      <c r="H230" t="str">
        <v>Marketing</v>
      </c>
      <c r="I230" t="str">
        <v>Alfred Galvan</v>
      </c>
      <c r="J230" t="str">
        <v>conradjason@hebert-collier.info</v>
      </c>
      <c r="K230" t="str">
        <f t="shared" si="13"/>
        <v>13-10-2024</v>
      </c>
      <c r="L230" s="19">
        <f t="shared" si="12"/>
        <v>41198.65</v>
      </c>
      <c r="M230" s="10" t="str">
        <v>Marketing</v>
      </c>
      <c r="N230" s="2" t="str">
        <f t="shared" si="14"/>
        <v>Has Email</v>
      </c>
      <c r="O230" t="str">
        <f t="shared" si="15"/>
        <v>Alfred Galvan</v>
      </c>
    </row>
    <row r="231" spans="1:15" x14ac:dyDescent="0.4">
      <c r="A231" s="2" t="s">
        <v>1064</v>
      </c>
      <c r="B231" s="2" t="s">
        <v>1065</v>
      </c>
      <c r="C231" s="2" t="s">
        <v>13</v>
      </c>
      <c r="D231" s="3">
        <v>44561</v>
      </c>
      <c r="E231" s="2" t="s">
        <v>1066</v>
      </c>
      <c r="F231" s="2" t="s">
        <v>1067</v>
      </c>
      <c r="G231" s="10">
        <v>43124.51</v>
      </c>
      <c r="H231" t="str">
        <v>Hr</v>
      </c>
      <c r="I231" t="str">
        <v>Brenda Thornton</v>
      </c>
      <c r="J231" t="str">
        <v>amandalopez@sandoval.net</v>
      </c>
      <c r="K231" t="str">
        <f t="shared" si="13"/>
        <v>31-12-2021</v>
      </c>
      <c r="L231" s="19">
        <f t="shared" si="12"/>
        <v>43124.51</v>
      </c>
      <c r="M231" s="10" t="str">
        <v>HR</v>
      </c>
      <c r="N231" s="2" t="str">
        <f t="shared" si="14"/>
        <v>Has Email</v>
      </c>
      <c r="O231" t="str">
        <f t="shared" si="15"/>
        <v>Brenda Thornton</v>
      </c>
    </row>
    <row r="232" spans="1:15" x14ac:dyDescent="0.4">
      <c r="A232" s="2" t="s">
        <v>1070</v>
      </c>
      <c r="B232" s="2" t="s">
        <v>1071</v>
      </c>
      <c r="C232" s="2" t="s">
        <v>29</v>
      </c>
      <c r="D232" s="3">
        <v>43010</v>
      </c>
      <c r="E232" s="2" t="s">
        <v>1072</v>
      </c>
      <c r="F232" s="2" t="s">
        <v>1073</v>
      </c>
      <c r="G232" s="10">
        <v>63985.85</v>
      </c>
      <c r="H232" t="str">
        <v>Finance</v>
      </c>
      <c r="I232" t="str">
        <v>Kelsey Rodriguez</v>
      </c>
      <c r="J232" t="str">
        <v>diane89@yahoo.com</v>
      </c>
      <c r="K232" t="str">
        <f t="shared" si="13"/>
        <v>02-10-2017</v>
      </c>
      <c r="L232" s="19">
        <f t="shared" si="12"/>
        <v>63985.85</v>
      </c>
      <c r="M232" s="10" t="str">
        <v>Finance</v>
      </c>
      <c r="N232" s="2" t="str">
        <f t="shared" si="14"/>
        <v>Has Email</v>
      </c>
      <c r="O232" t="str">
        <f t="shared" si="15"/>
        <v>Kelsey Rodriguez</v>
      </c>
    </row>
    <row r="233" spans="1:15" x14ac:dyDescent="0.4">
      <c r="A233" s="2" t="s">
        <v>1075</v>
      </c>
      <c r="B233" s="2" t="s">
        <v>1076</v>
      </c>
      <c r="C233" s="2" t="s">
        <v>24</v>
      </c>
      <c r="D233" s="3">
        <v>45453</v>
      </c>
      <c r="E233" s="2" t="s">
        <v>1077</v>
      </c>
      <c r="F233" s="2" t="s">
        <v>1078</v>
      </c>
      <c r="G233" s="10">
        <v>78284.240000000005</v>
      </c>
      <c r="H233" t="str">
        <v>It</v>
      </c>
      <c r="I233" t="str">
        <v>Taylor Carlson</v>
      </c>
      <c r="J233" t="str">
        <v>michael77@yahoo.com</v>
      </c>
      <c r="K233" t="str">
        <f t="shared" si="13"/>
        <v>10-06-2024</v>
      </c>
      <c r="L233" s="19">
        <f t="shared" si="12"/>
        <v>78284.240000000005</v>
      </c>
      <c r="M233" s="10" t="str">
        <v>IT</v>
      </c>
      <c r="N233" s="2" t="str">
        <f t="shared" si="14"/>
        <v>Has Email</v>
      </c>
      <c r="O233" t="str">
        <f t="shared" si="15"/>
        <v>Taylor Carlson</v>
      </c>
    </row>
    <row r="234" spans="1:15" x14ac:dyDescent="0.4">
      <c r="A234" s="2" t="s">
        <v>1079</v>
      </c>
      <c r="B234" s="2" t="s">
        <v>1080</v>
      </c>
      <c r="C234" s="2" t="s">
        <v>41</v>
      </c>
      <c r="D234" s="3">
        <v>43569</v>
      </c>
      <c r="E234" s="2" t="s">
        <v>1081</v>
      </c>
      <c r="F234" s="2" t="s">
        <v>1082</v>
      </c>
      <c r="G234" s="10">
        <v>74920.33</v>
      </c>
      <c r="H234" t="str">
        <v>Sales</v>
      </c>
      <c r="I234" t="str">
        <v>Jose Allen</v>
      </c>
      <c r="J234" t="str">
        <v>birdcaitlin@taylor.com</v>
      </c>
      <c r="K234" t="str">
        <f t="shared" si="13"/>
        <v>14-04-2019</v>
      </c>
      <c r="L234" s="19">
        <f t="shared" si="12"/>
        <v>74920.33</v>
      </c>
      <c r="M234" s="10" t="str">
        <v>Sales</v>
      </c>
      <c r="N234" s="2" t="str">
        <f t="shared" si="14"/>
        <v>Has Email</v>
      </c>
      <c r="O234" t="str">
        <f t="shared" si="15"/>
        <v>Jose Allen</v>
      </c>
    </row>
    <row r="235" spans="1:15" x14ac:dyDescent="0.4">
      <c r="A235" s="2" t="s">
        <v>1083</v>
      </c>
      <c r="B235" s="2" t="s">
        <v>1084</v>
      </c>
      <c r="C235" s="2" t="s">
        <v>41</v>
      </c>
      <c r="D235" s="3">
        <v>45871</v>
      </c>
      <c r="E235" s="2" t="s">
        <v>1085</v>
      </c>
      <c r="F235" s="2" t="s">
        <v>1086</v>
      </c>
      <c r="G235" s="10">
        <v>115885.12</v>
      </c>
      <c r="H235" t="str">
        <v>Sales</v>
      </c>
      <c r="I235" t="str">
        <v>Jeffrey Mendez</v>
      </c>
      <c r="J235" t="str">
        <v>andrew48@hawkins.com</v>
      </c>
      <c r="K235" t="str">
        <f t="shared" si="13"/>
        <v>02-08-2025</v>
      </c>
      <c r="L235" s="19">
        <f t="shared" si="12"/>
        <v>115885.12</v>
      </c>
      <c r="M235" s="10" t="str">
        <v>Sales</v>
      </c>
      <c r="N235" s="2" t="str">
        <f t="shared" si="14"/>
        <v>Has Email</v>
      </c>
      <c r="O235" t="str">
        <f t="shared" si="15"/>
        <v>Jeffrey Mendez</v>
      </c>
    </row>
    <row r="236" spans="1:15" x14ac:dyDescent="0.4">
      <c r="A236" s="2" t="s">
        <v>1087</v>
      </c>
      <c r="B236" s="2" t="s">
        <v>1088</v>
      </c>
      <c r="C236" s="2" t="s">
        <v>29</v>
      </c>
      <c r="D236" s="3">
        <v>45647</v>
      </c>
      <c r="E236" s="2" t="s">
        <v>1089</v>
      </c>
      <c r="F236" s="2" t="s">
        <v>1090</v>
      </c>
      <c r="G236" s="10">
        <v>111651.8</v>
      </c>
      <c r="H236" t="str">
        <v>Finance</v>
      </c>
      <c r="I236" t="str">
        <v>Jason Beck</v>
      </c>
      <c r="J236" t="str">
        <v>eric45@hotmail.com</v>
      </c>
      <c r="K236" t="str">
        <f t="shared" si="13"/>
        <v>21-12-2024</v>
      </c>
      <c r="L236" s="19">
        <f t="shared" si="12"/>
        <v>111651.8</v>
      </c>
      <c r="M236" s="10" t="str">
        <v>Finance</v>
      </c>
      <c r="N236" s="2" t="str">
        <f t="shared" si="14"/>
        <v>Has Email</v>
      </c>
      <c r="O236" t="str">
        <f t="shared" si="15"/>
        <v>Jason Beck</v>
      </c>
    </row>
    <row r="237" spans="1:15" x14ac:dyDescent="0.4">
      <c r="A237" s="2" t="s">
        <v>1091</v>
      </c>
      <c r="B237" s="2" t="s">
        <v>1092</v>
      </c>
      <c r="C237" s="2" t="s">
        <v>48</v>
      </c>
      <c r="D237" s="3">
        <v>43244</v>
      </c>
      <c r="E237" s="2" t="s">
        <v>1093</v>
      </c>
      <c r="F237" s="2" t="s">
        <v>1094</v>
      </c>
      <c r="G237" s="10">
        <v>76895.960000000006</v>
      </c>
      <c r="H237" t="str">
        <v>Marketing</v>
      </c>
      <c r="I237" t="str">
        <v>William Jones</v>
      </c>
      <c r="J237" t="str">
        <v>jonathanevans@ross.com</v>
      </c>
      <c r="K237" t="str">
        <f t="shared" si="13"/>
        <v>24-05-2018</v>
      </c>
      <c r="L237" s="19">
        <f t="shared" si="12"/>
        <v>76895.960000000006</v>
      </c>
      <c r="M237" s="10" t="str">
        <v>Marketing</v>
      </c>
      <c r="N237" s="2" t="str">
        <f t="shared" si="14"/>
        <v>Has Email</v>
      </c>
      <c r="O237" t="str">
        <f t="shared" si="15"/>
        <v>William Jones</v>
      </c>
    </row>
    <row r="238" spans="1:15" x14ac:dyDescent="0.4">
      <c r="A238" s="2" t="s">
        <v>1096</v>
      </c>
      <c r="B238" s="2" t="s">
        <v>1097</v>
      </c>
      <c r="C238" s="2" t="s">
        <v>13</v>
      </c>
      <c r="D238" s="3">
        <v>44351</v>
      </c>
      <c r="E238" s="2" t="s">
        <v>1098</v>
      </c>
      <c r="F238" s="2" t="s">
        <v>1099</v>
      </c>
      <c r="G238" s="10">
        <v>115947.05</v>
      </c>
      <c r="H238" t="str">
        <v>Hr</v>
      </c>
      <c r="I238" t="str">
        <v>Jeanette Harrison</v>
      </c>
      <c r="J238" t="str">
        <v>benjamin96@deleon.com</v>
      </c>
      <c r="K238" t="str">
        <f t="shared" si="13"/>
        <v>04-06-2021</v>
      </c>
      <c r="L238" s="19">
        <f t="shared" si="12"/>
        <v>115947.05</v>
      </c>
      <c r="M238" s="10" t="str">
        <v>HR</v>
      </c>
      <c r="N238" s="2" t="str">
        <f t="shared" si="14"/>
        <v>Has Email</v>
      </c>
      <c r="O238" t="str">
        <f t="shared" si="15"/>
        <v>Jeanette Harrison</v>
      </c>
    </row>
    <row r="239" spans="1:15" x14ac:dyDescent="0.4">
      <c r="A239" s="2" t="s">
        <v>1101</v>
      </c>
      <c r="B239" s="2" t="s">
        <v>1102</v>
      </c>
      <c r="C239" s="2" t="s">
        <v>24</v>
      </c>
      <c r="D239" s="3">
        <v>45058</v>
      </c>
      <c r="E239" s="2" t="s">
        <v>1103</v>
      </c>
      <c r="F239" s="2" t="s">
        <v>1104</v>
      </c>
      <c r="G239" s="10">
        <v>114441.13</v>
      </c>
      <c r="H239" t="str">
        <v>It</v>
      </c>
      <c r="I239" t="str">
        <v>Richard Cooper</v>
      </c>
      <c r="J239" t="str">
        <v>hbrown@flores.com</v>
      </c>
      <c r="K239" t="str">
        <f t="shared" si="13"/>
        <v>12-05-2023</v>
      </c>
      <c r="L239" s="19">
        <f t="shared" si="12"/>
        <v>114441.13</v>
      </c>
      <c r="M239" s="10" t="str">
        <v>IT</v>
      </c>
      <c r="N239" s="2" t="str">
        <f t="shared" si="14"/>
        <v>Has Email</v>
      </c>
      <c r="O239" t="str">
        <f t="shared" si="15"/>
        <v>Richard Cooper</v>
      </c>
    </row>
    <row r="240" spans="1:15" x14ac:dyDescent="0.4">
      <c r="A240" s="2" t="s">
        <v>1106</v>
      </c>
      <c r="B240" s="2" t="s">
        <v>1107</v>
      </c>
      <c r="C240" s="2" t="s">
        <v>24</v>
      </c>
      <c r="D240" s="3">
        <v>43589</v>
      </c>
      <c r="E240" s="2" t="s">
        <v>1108</v>
      </c>
      <c r="F240" s="2" t="s">
        <v>1109</v>
      </c>
      <c r="G240" s="10">
        <v>90572.79</v>
      </c>
      <c r="H240" t="str">
        <v>It</v>
      </c>
      <c r="I240" t="str">
        <v>Evelyn Williams</v>
      </c>
      <c r="J240" t="str">
        <v>walkerkeith@yahoo.com</v>
      </c>
      <c r="K240" t="str">
        <f t="shared" si="13"/>
        <v>04-05-2019</v>
      </c>
      <c r="L240" s="19">
        <f t="shared" si="12"/>
        <v>90572.79</v>
      </c>
      <c r="M240" s="10" t="str">
        <v>IT</v>
      </c>
      <c r="N240" s="2" t="str">
        <f t="shared" si="14"/>
        <v>Has Email</v>
      </c>
      <c r="O240" t="str">
        <f t="shared" si="15"/>
        <v>Evelyn Williams</v>
      </c>
    </row>
    <row r="241" spans="1:15" x14ac:dyDescent="0.4">
      <c r="A241" s="2" t="s">
        <v>1110</v>
      </c>
      <c r="B241" s="2" t="s">
        <v>1111</v>
      </c>
      <c r="C241" s="2" t="s">
        <v>29</v>
      </c>
      <c r="D241" s="3">
        <v>45936</v>
      </c>
      <c r="E241" s="2" t="s">
        <v>1112</v>
      </c>
      <c r="F241" s="2" t="s">
        <v>1113</v>
      </c>
      <c r="G241" s="10">
        <v>55118.87</v>
      </c>
      <c r="H241" t="str">
        <v>Finance</v>
      </c>
      <c r="I241" t="str">
        <v>Robin Thompson</v>
      </c>
      <c r="J241" t="str">
        <v>matthewalvarez@williams.net</v>
      </c>
      <c r="K241" t="str">
        <f t="shared" si="13"/>
        <v>06-10-2025</v>
      </c>
      <c r="L241" s="19">
        <f t="shared" si="12"/>
        <v>55118.87</v>
      </c>
      <c r="M241" s="10" t="str">
        <v>Finance</v>
      </c>
      <c r="N241" s="2" t="str">
        <f t="shared" si="14"/>
        <v>Has Email</v>
      </c>
      <c r="O241" t="str">
        <f t="shared" si="15"/>
        <v>Robin Thompson</v>
      </c>
    </row>
    <row r="242" spans="1:15" x14ac:dyDescent="0.4">
      <c r="A242" s="2" t="s">
        <v>1114</v>
      </c>
      <c r="B242" s="2" t="s">
        <v>1115</v>
      </c>
      <c r="C242" s="2" t="s">
        <v>9</v>
      </c>
      <c r="D242" s="3">
        <v>45350</v>
      </c>
      <c r="E242" s="2" t="s">
        <v>1116</v>
      </c>
      <c r="F242" s="2" t="s">
        <v>1117</v>
      </c>
      <c r="G242" s="10">
        <v>78246.320000000007</v>
      </c>
      <c r="H242" t="str">
        <v>Operations</v>
      </c>
      <c r="I242" t="str">
        <v>Julie Dominguez</v>
      </c>
      <c r="J242" t="str">
        <v>kathleencastillo@gmail.com</v>
      </c>
      <c r="K242" t="str">
        <f t="shared" si="13"/>
        <v>28-02-2024</v>
      </c>
      <c r="L242" s="19">
        <f t="shared" si="12"/>
        <v>78246.320000000007</v>
      </c>
      <c r="M242" s="10" t="str">
        <v>Operations</v>
      </c>
      <c r="N242" s="2" t="str">
        <f t="shared" si="14"/>
        <v>Has Email</v>
      </c>
      <c r="O242" t="str">
        <f t="shared" si="15"/>
        <v>Julie Dominguez</v>
      </c>
    </row>
    <row r="243" spans="1:15" x14ac:dyDescent="0.4">
      <c r="A243" s="2" t="s">
        <v>1118</v>
      </c>
      <c r="B243" s="2" t="s">
        <v>1119</v>
      </c>
      <c r="C243" s="2" t="s">
        <v>29</v>
      </c>
      <c r="D243" s="3">
        <v>42878</v>
      </c>
      <c r="E243" s="2" t="s">
        <v>1120</v>
      </c>
      <c r="F243" s="2" t="s">
        <v>1121</v>
      </c>
      <c r="G243" s="10">
        <v>52339.99</v>
      </c>
      <c r="H243" t="str">
        <v>Finance</v>
      </c>
      <c r="I243" t="str">
        <v>Robin Brown</v>
      </c>
      <c r="J243" t="str">
        <v>mpearson@hotmail.com</v>
      </c>
      <c r="K243" t="str">
        <f t="shared" si="13"/>
        <v>23-05-2017</v>
      </c>
      <c r="L243" s="19">
        <f t="shared" si="12"/>
        <v>52339.99</v>
      </c>
      <c r="M243" s="10" t="str">
        <v>Finance</v>
      </c>
      <c r="N243" s="2" t="str">
        <f t="shared" si="14"/>
        <v>Has Email</v>
      </c>
      <c r="O243" t="str">
        <f t="shared" si="15"/>
        <v>Robin Brown</v>
      </c>
    </row>
    <row r="244" spans="1:15" x14ac:dyDescent="0.4">
      <c r="A244" s="2" t="s">
        <v>1122</v>
      </c>
      <c r="B244" s="2" t="s">
        <v>1123</v>
      </c>
      <c r="C244" s="2" t="s">
        <v>9</v>
      </c>
      <c r="D244" s="3">
        <v>45484</v>
      </c>
      <c r="E244" s="2" t="s">
        <v>1124</v>
      </c>
      <c r="F244" s="2" t="s">
        <v>1125</v>
      </c>
      <c r="G244" s="10">
        <v>110097.24</v>
      </c>
      <c r="H244" t="str">
        <v>Operations</v>
      </c>
      <c r="I244" t="str">
        <v>Judith Carter</v>
      </c>
      <c r="J244" t="str">
        <v>charlesfrank@cohen-johnston.com</v>
      </c>
      <c r="K244" t="str">
        <f t="shared" si="13"/>
        <v>11-07-2024</v>
      </c>
      <c r="L244" s="19">
        <f t="shared" si="12"/>
        <v>110097.24</v>
      </c>
      <c r="M244" s="10" t="str">
        <v>Operations</v>
      </c>
      <c r="N244" s="2" t="str">
        <f t="shared" si="14"/>
        <v>Has Email</v>
      </c>
      <c r="O244" t="str">
        <f t="shared" si="15"/>
        <v>Judith Carter</v>
      </c>
    </row>
    <row r="245" spans="1:15" x14ac:dyDescent="0.4">
      <c r="A245" s="2" t="s">
        <v>1126</v>
      </c>
      <c r="B245" s="2" t="s">
        <v>1127</v>
      </c>
      <c r="C245" s="2" t="s">
        <v>24</v>
      </c>
      <c r="D245" s="3">
        <v>42658</v>
      </c>
      <c r="E245" s="2" t="s">
        <v>1128</v>
      </c>
      <c r="F245" s="2" t="s">
        <v>1129</v>
      </c>
      <c r="G245" s="10">
        <v>52593</v>
      </c>
      <c r="H245" t="str">
        <v>It</v>
      </c>
      <c r="I245" t="str">
        <v>Kaylee Hays</v>
      </c>
      <c r="J245" t="str">
        <v>carrillogary@yahoo.com</v>
      </c>
      <c r="K245" t="str">
        <f t="shared" si="13"/>
        <v>15-10-2016</v>
      </c>
      <c r="L245" s="19">
        <f t="shared" si="12"/>
        <v>52593</v>
      </c>
      <c r="M245" s="10" t="str">
        <v>IT</v>
      </c>
      <c r="N245" s="2" t="str">
        <f t="shared" si="14"/>
        <v>Has Email</v>
      </c>
      <c r="O245" t="str">
        <f t="shared" si="15"/>
        <v>Kaylee Hays</v>
      </c>
    </row>
    <row r="246" spans="1:15" x14ac:dyDescent="0.4">
      <c r="A246" s="2" t="s">
        <v>1131</v>
      </c>
      <c r="B246" s="2" t="s">
        <v>1132</v>
      </c>
      <c r="C246" s="2" t="s">
        <v>48</v>
      </c>
      <c r="D246" s="3">
        <v>43132</v>
      </c>
      <c r="E246" s="2" t="s">
        <v>1133</v>
      </c>
      <c r="F246" s="2" t="s">
        <v>1134</v>
      </c>
      <c r="G246" s="10">
        <v>57904.53</v>
      </c>
      <c r="H246" t="str">
        <v>Marketing</v>
      </c>
      <c r="I246" t="str">
        <v>Howard Norman</v>
      </c>
      <c r="J246" t="str">
        <v>eric11@brown.com</v>
      </c>
      <c r="K246" t="str">
        <f t="shared" si="13"/>
        <v>01-02-2018</v>
      </c>
      <c r="L246" s="19">
        <f t="shared" si="12"/>
        <v>57904.53</v>
      </c>
      <c r="M246" s="10" t="str">
        <v>Marketing</v>
      </c>
      <c r="N246" s="2" t="str">
        <f t="shared" si="14"/>
        <v>Has Email</v>
      </c>
      <c r="O246" t="str">
        <f t="shared" si="15"/>
        <v>Howard Norman</v>
      </c>
    </row>
    <row r="247" spans="1:15" x14ac:dyDescent="0.4">
      <c r="A247" s="2" t="s">
        <v>1135</v>
      </c>
      <c r="B247" s="2" t="s">
        <v>1136</v>
      </c>
      <c r="C247" s="2" t="s">
        <v>41</v>
      </c>
      <c r="D247" s="3">
        <v>45502</v>
      </c>
      <c r="E247" s="2" t="s">
        <v>1137</v>
      </c>
      <c r="F247" s="2" t="s">
        <v>1138</v>
      </c>
      <c r="G247" s="10">
        <v>87317.34</v>
      </c>
      <c r="H247" t="str">
        <v>Sales</v>
      </c>
      <c r="I247" t="str">
        <v>Evelyn Martinez</v>
      </c>
      <c r="J247" t="str">
        <v>heather14@ruiz-rivera.net</v>
      </c>
      <c r="K247" t="str">
        <f t="shared" si="13"/>
        <v>29-07-2024</v>
      </c>
      <c r="L247" s="19">
        <f t="shared" si="12"/>
        <v>87317.34</v>
      </c>
      <c r="M247" s="10" t="str">
        <v>Sales</v>
      </c>
      <c r="N247" s="2" t="str">
        <f t="shared" si="14"/>
        <v>Has Email</v>
      </c>
      <c r="O247" t="str">
        <f t="shared" si="15"/>
        <v>Evelyn Martinez</v>
      </c>
    </row>
    <row r="248" spans="1:15" x14ac:dyDescent="0.4">
      <c r="A248" s="2" t="s">
        <v>1139</v>
      </c>
      <c r="B248" s="2" t="s">
        <v>1140</v>
      </c>
      <c r="C248" s="2" t="s">
        <v>9</v>
      </c>
      <c r="D248" s="3">
        <v>44894</v>
      </c>
      <c r="E248" s="2" t="s">
        <v>1141</v>
      </c>
      <c r="F248" s="2" t="s">
        <v>1142</v>
      </c>
      <c r="G248" s="10">
        <v>45328.75</v>
      </c>
      <c r="H248" t="str">
        <v>Operations</v>
      </c>
      <c r="I248" t="str">
        <v>Steve Paul</v>
      </c>
      <c r="J248" t="str">
        <v>amychristensen@webb.com</v>
      </c>
      <c r="K248" t="str">
        <f t="shared" si="13"/>
        <v>29-11-2022</v>
      </c>
      <c r="L248" s="19">
        <f t="shared" si="12"/>
        <v>45328.75</v>
      </c>
      <c r="M248" s="10" t="str">
        <v>Operations</v>
      </c>
      <c r="N248" s="2" t="str">
        <f t="shared" si="14"/>
        <v>Has Email</v>
      </c>
      <c r="O248" t="str">
        <f t="shared" si="15"/>
        <v>Steve Paul</v>
      </c>
    </row>
    <row r="249" spans="1:15" x14ac:dyDescent="0.4">
      <c r="A249" s="2" t="s">
        <v>1146</v>
      </c>
      <c r="B249" s="2" t="s">
        <v>1147</v>
      </c>
      <c r="C249" s="2" t="s">
        <v>48</v>
      </c>
      <c r="D249" s="3">
        <v>45186</v>
      </c>
      <c r="E249" s="2" t="s">
        <v>1148</v>
      </c>
      <c r="F249" s="2" t="s">
        <v>1149</v>
      </c>
      <c r="G249" s="10">
        <v>34518.81</v>
      </c>
      <c r="H249" t="str">
        <v>Marketing</v>
      </c>
      <c r="I249" t="str">
        <v>Bobby Guerrero</v>
      </c>
      <c r="J249" t="str">
        <v>yhall@hotmail.com</v>
      </c>
      <c r="K249" t="str">
        <f t="shared" si="13"/>
        <v>17-09-2023</v>
      </c>
      <c r="L249" s="19">
        <f t="shared" si="12"/>
        <v>34518.81</v>
      </c>
      <c r="M249" s="10" t="str">
        <v>Marketing</v>
      </c>
      <c r="N249" s="2" t="str">
        <f t="shared" si="14"/>
        <v>Has Email</v>
      </c>
      <c r="O249" t="str">
        <f t="shared" si="15"/>
        <v>Bobby Guerrero</v>
      </c>
    </row>
    <row r="250" spans="1:15" x14ac:dyDescent="0.4">
      <c r="A250" s="2" t="s">
        <v>1152</v>
      </c>
      <c r="B250" s="2" t="s">
        <v>1153</v>
      </c>
      <c r="C250" s="2" t="s">
        <v>24</v>
      </c>
      <c r="D250" s="3">
        <v>43894</v>
      </c>
      <c r="E250" s="2" t="s">
        <v>1154</v>
      </c>
      <c r="F250" s="2" t="s">
        <v>1155</v>
      </c>
      <c r="G250" s="10">
        <v>63656.21</v>
      </c>
      <c r="H250" t="str">
        <v>It</v>
      </c>
      <c r="I250" t="str">
        <v>William Gould</v>
      </c>
      <c r="J250" t="str">
        <v>garrettnatasha@gmail.com</v>
      </c>
      <c r="K250" t="str">
        <f t="shared" si="13"/>
        <v>04-03-2020</v>
      </c>
      <c r="L250" s="19">
        <f t="shared" si="12"/>
        <v>63656.21</v>
      </c>
      <c r="M250" s="10" t="str">
        <v>IT</v>
      </c>
      <c r="N250" s="2" t="str">
        <f t="shared" si="14"/>
        <v>Has Email</v>
      </c>
      <c r="O250" t="str">
        <f t="shared" si="15"/>
        <v>William Gould</v>
      </c>
    </row>
    <row r="251" spans="1:15" x14ac:dyDescent="0.4">
      <c r="A251" s="2" t="s">
        <v>1156</v>
      </c>
      <c r="B251" s="2" t="s">
        <v>1157</v>
      </c>
      <c r="C251" s="2" t="s">
        <v>9</v>
      </c>
      <c r="D251" s="3">
        <v>43666</v>
      </c>
      <c r="E251" s="2" t="s">
        <v>1158</v>
      </c>
      <c r="F251" s="2" t="s">
        <v>1159</v>
      </c>
      <c r="G251" s="10">
        <v>96811.55</v>
      </c>
      <c r="H251" t="str">
        <v>Operations</v>
      </c>
      <c r="I251" t="str">
        <v>Meghan Cisneros</v>
      </c>
      <c r="J251" t="str">
        <v>edwardprince@hotmail.com</v>
      </c>
      <c r="K251" t="str">
        <f t="shared" si="13"/>
        <v>20-07-2019</v>
      </c>
      <c r="L251" s="19">
        <f t="shared" si="12"/>
        <v>96811.55</v>
      </c>
      <c r="M251" s="10" t="str">
        <v>Operations</v>
      </c>
      <c r="N251" s="2" t="str">
        <f t="shared" si="14"/>
        <v>Has Email</v>
      </c>
      <c r="O251" t="str">
        <f t="shared" si="15"/>
        <v>Meghan Cisneros</v>
      </c>
    </row>
  </sheetData>
  <sortState xmlns:xlrd2="http://schemas.microsoft.com/office/spreadsheetml/2017/richdata2" ref="L2:L251">
    <sortCondition ref="L1:L251"/>
  </sortState>
  <conditionalFormatting sqref="L1:L1048576">
    <cfRule type="top10" dxfId="2" priority="1" percent="1" bottom="1" rank="5"/>
    <cfRule type="top10" dxfId="1" priority="2" percent="1" bottom="1" rank="5"/>
    <cfRule type="top10" dxfId="0" priority="3" percent="1" rank="5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workbookViewId="0">
      <selection activeCell="I2" sqref="I2"/>
    </sheetView>
  </sheetViews>
  <sheetFormatPr defaultRowHeight="14.6" x14ac:dyDescent="0.4"/>
  <cols>
    <col min="1" max="1" width="13.69140625" bestFit="1" customWidth="1"/>
    <col min="2" max="2" width="7.53515625" bestFit="1" customWidth="1"/>
    <col min="3" max="3" width="15.23046875" bestFit="1" customWidth="1"/>
    <col min="4" max="4" width="8.3046875" bestFit="1" customWidth="1"/>
    <col min="5" max="6" width="9.69140625" bestFit="1" customWidth="1"/>
    <col min="7" max="7" width="10.3046875" style="13" bestFit="1" customWidth="1"/>
    <col min="8" max="8" width="13.921875" bestFit="1" customWidth="1"/>
  </cols>
  <sheetData>
    <row r="1" spans="1:9" x14ac:dyDescent="0.4">
      <c r="A1" s="1" t="s">
        <v>1164</v>
      </c>
      <c r="B1" s="1" t="s">
        <v>0</v>
      </c>
      <c r="C1" s="1" t="s">
        <v>1165</v>
      </c>
      <c r="D1" s="1" t="s">
        <v>1166</v>
      </c>
      <c r="E1" s="1" t="s">
        <v>1167</v>
      </c>
      <c r="F1" s="1" t="s">
        <v>1168</v>
      </c>
      <c r="G1" s="11" t="s">
        <v>1169</v>
      </c>
      <c r="H1" s="17" t="s">
        <v>3736</v>
      </c>
      <c r="I1" s="14" t="s">
        <v>3738</v>
      </c>
    </row>
    <row r="2" spans="1:9" x14ac:dyDescent="0.4">
      <c r="A2" s="2" t="s">
        <v>1170</v>
      </c>
      <c r="B2" s="2" t="s">
        <v>254</v>
      </c>
      <c r="C2" s="2" t="s">
        <v>1171</v>
      </c>
      <c r="D2" s="2"/>
      <c r="E2" s="2"/>
      <c r="F2" s="2"/>
      <c r="G2" s="12">
        <v>44938</v>
      </c>
      <c r="H2" s="2">
        <v>0</v>
      </c>
      <c r="I2" t="str">
        <f>TEXT(G2,"mmm")</f>
        <v>Jan</v>
      </c>
    </row>
    <row r="3" spans="1:9" x14ac:dyDescent="0.4">
      <c r="A3" s="2" t="s">
        <v>1172</v>
      </c>
      <c r="B3" s="2" t="s">
        <v>1007</v>
      </c>
      <c r="C3" s="2" t="s">
        <v>1173</v>
      </c>
      <c r="D3" s="2">
        <v>2</v>
      </c>
      <c r="E3" s="2">
        <v>5000</v>
      </c>
      <c r="F3" s="2"/>
      <c r="G3" s="12">
        <v>45218</v>
      </c>
      <c r="H3" s="2">
        <v>0</v>
      </c>
      <c r="I3" t="str">
        <f t="shared" ref="I3:I66" si="0">TEXT(G3,"mmm")</f>
        <v>Oct</v>
      </c>
    </row>
    <row r="4" spans="1:9" x14ac:dyDescent="0.4">
      <c r="A4" s="2" t="s">
        <v>1174</v>
      </c>
      <c r="B4" s="2" t="s">
        <v>619</v>
      </c>
      <c r="C4" s="2" t="s">
        <v>1175</v>
      </c>
      <c r="D4" s="2">
        <v>3</v>
      </c>
      <c r="E4" s="2">
        <v>15000</v>
      </c>
      <c r="F4" s="2">
        <v>95739</v>
      </c>
      <c r="G4" s="12">
        <v>45189</v>
      </c>
      <c r="H4" s="2">
        <v>95739</v>
      </c>
      <c r="I4" t="str">
        <f t="shared" si="0"/>
        <v>Sep</v>
      </c>
    </row>
    <row r="5" spans="1:9" x14ac:dyDescent="0.4">
      <c r="A5" s="2" t="s">
        <v>1176</v>
      </c>
      <c r="B5" s="2" t="s">
        <v>257</v>
      </c>
      <c r="C5" s="2" t="s">
        <v>1171</v>
      </c>
      <c r="D5" s="2">
        <v>1</v>
      </c>
      <c r="E5" s="2">
        <v>10000</v>
      </c>
      <c r="F5" s="2"/>
      <c r="G5" s="12">
        <v>45459</v>
      </c>
      <c r="H5" s="2">
        <v>0</v>
      </c>
      <c r="I5" t="str">
        <f t="shared" si="0"/>
        <v>Jun</v>
      </c>
    </row>
    <row r="6" spans="1:9" x14ac:dyDescent="0.4">
      <c r="A6" s="2" t="s">
        <v>1177</v>
      </c>
      <c r="B6" s="2" t="s">
        <v>197</v>
      </c>
      <c r="C6" s="2" t="s">
        <v>1171</v>
      </c>
      <c r="D6" s="2">
        <v>5</v>
      </c>
      <c r="E6" s="2">
        <v>20000</v>
      </c>
      <c r="F6" s="2">
        <v>14744</v>
      </c>
      <c r="G6" s="12">
        <v>45156</v>
      </c>
      <c r="H6" s="2">
        <v>14744</v>
      </c>
      <c r="I6" t="str">
        <f t="shared" si="0"/>
        <v>Aug</v>
      </c>
    </row>
    <row r="7" spans="1:9" x14ac:dyDescent="0.4">
      <c r="A7" s="2" t="s">
        <v>1178</v>
      </c>
      <c r="B7" s="2" t="s">
        <v>56</v>
      </c>
      <c r="C7" s="2" t="s">
        <v>1173</v>
      </c>
      <c r="D7" s="2">
        <v>5</v>
      </c>
      <c r="E7" s="2">
        <v>15000</v>
      </c>
      <c r="F7" s="2"/>
      <c r="G7" s="12">
        <v>45895</v>
      </c>
      <c r="H7" s="2">
        <v>0</v>
      </c>
      <c r="I7" t="str">
        <f t="shared" si="0"/>
        <v>Aug</v>
      </c>
    </row>
    <row r="8" spans="1:9" x14ac:dyDescent="0.4">
      <c r="A8" s="2" t="s">
        <v>1179</v>
      </c>
      <c r="B8" s="2" t="s">
        <v>291</v>
      </c>
      <c r="C8" s="2" t="s">
        <v>1180</v>
      </c>
      <c r="D8" s="2">
        <v>5</v>
      </c>
      <c r="E8" s="2"/>
      <c r="F8" s="2">
        <v>28508</v>
      </c>
      <c r="G8" s="12">
        <v>45539</v>
      </c>
      <c r="H8" s="2">
        <v>28508</v>
      </c>
      <c r="I8" t="str">
        <f t="shared" si="0"/>
        <v>Sep</v>
      </c>
    </row>
    <row r="9" spans="1:9" x14ac:dyDescent="0.4">
      <c r="A9" s="2" t="s">
        <v>1181</v>
      </c>
      <c r="B9" s="2" t="s">
        <v>1087</v>
      </c>
      <c r="C9" s="2" t="s">
        <v>1182</v>
      </c>
      <c r="D9" s="2">
        <v>5</v>
      </c>
      <c r="E9" s="2"/>
      <c r="F9" s="2"/>
      <c r="G9" s="12">
        <v>45697</v>
      </c>
      <c r="H9" s="2">
        <v>0</v>
      </c>
      <c r="I9" t="str">
        <f t="shared" si="0"/>
        <v>Feb</v>
      </c>
    </row>
    <row r="10" spans="1:9" x14ac:dyDescent="0.4">
      <c r="A10" s="2" t="s">
        <v>1183</v>
      </c>
      <c r="B10" s="2" t="s">
        <v>515</v>
      </c>
      <c r="C10" s="2" t="s">
        <v>1175</v>
      </c>
      <c r="D10" s="2">
        <v>3</v>
      </c>
      <c r="E10" s="2"/>
      <c r="F10" s="2"/>
      <c r="G10" s="12">
        <v>44951</v>
      </c>
      <c r="H10" s="2">
        <v>0</v>
      </c>
      <c r="I10" t="str">
        <f t="shared" si="0"/>
        <v>Jan</v>
      </c>
    </row>
    <row r="11" spans="1:9" x14ac:dyDescent="0.4">
      <c r="A11" s="2" t="s">
        <v>1184</v>
      </c>
      <c r="B11" s="2" t="s">
        <v>765</v>
      </c>
      <c r="C11" s="2" t="s">
        <v>1175</v>
      </c>
      <c r="D11" s="2">
        <v>5</v>
      </c>
      <c r="E11" s="2"/>
      <c r="F11" s="2">
        <v>98416</v>
      </c>
      <c r="G11" s="12">
        <v>45895</v>
      </c>
      <c r="H11" s="2">
        <v>98416</v>
      </c>
      <c r="I11" t="str">
        <f t="shared" si="0"/>
        <v>Aug</v>
      </c>
    </row>
    <row r="12" spans="1:9" x14ac:dyDescent="0.4">
      <c r="A12" s="2" t="s">
        <v>1185</v>
      </c>
      <c r="B12" s="2" t="s">
        <v>1068</v>
      </c>
      <c r="C12" s="2" t="s">
        <v>1182</v>
      </c>
      <c r="D12" s="2">
        <v>3</v>
      </c>
      <c r="E12" s="2"/>
      <c r="F12" s="2">
        <v>15084</v>
      </c>
      <c r="G12" s="12">
        <v>45344</v>
      </c>
      <c r="H12" s="2">
        <v>15084</v>
      </c>
      <c r="I12" t="str">
        <f t="shared" si="0"/>
        <v>Feb</v>
      </c>
    </row>
    <row r="13" spans="1:9" x14ac:dyDescent="0.4">
      <c r="A13" s="2" t="s">
        <v>1186</v>
      </c>
      <c r="B13" s="2" t="s">
        <v>236</v>
      </c>
      <c r="C13" s="2" t="s">
        <v>1187</v>
      </c>
      <c r="D13" s="2">
        <v>4</v>
      </c>
      <c r="E13" s="2">
        <v>5000</v>
      </c>
      <c r="F13" s="2"/>
      <c r="G13" s="12">
        <v>44918</v>
      </c>
      <c r="H13" s="2">
        <v>0</v>
      </c>
      <c r="I13" t="str">
        <f t="shared" si="0"/>
        <v>Dec</v>
      </c>
    </row>
    <row r="14" spans="1:9" x14ac:dyDescent="0.4">
      <c r="A14" s="2" t="s">
        <v>1188</v>
      </c>
      <c r="B14" s="2" t="s">
        <v>852</v>
      </c>
      <c r="C14" s="2" t="s">
        <v>1187</v>
      </c>
      <c r="D14" s="2">
        <v>5</v>
      </c>
      <c r="E14" s="2">
        <v>15000</v>
      </c>
      <c r="F14" s="2">
        <v>79277</v>
      </c>
      <c r="G14" s="12">
        <v>45711</v>
      </c>
      <c r="H14" s="2">
        <v>79277</v>
      </c>
      <c r="I14" t="str">
        <f t="shared" si="0"/>
        <v>Feb</v>
      </c>
    </row>
    <row r="15" spans="1:9" x14ac:dyDescent="0.4">
      <c r="A15" s="2" t="s">
        <v>1189</v>
      </c>
      <c r="B15" s="2" t="s">
        <v>250</v>
      </c>
      <c r="C15" s="2" t="s">
        <v>1175</v>
      </c>
      <c r="D15" s="2">
        <v>1</v>
      </c>
      <c r="E15" s="2">
        <v>20000</v>
      </c>
      <c r="F15" s="2">
        <v>93740</v>
      </c>
      <c r="G15" s="12">
        <v>45410</v>
      </c>
      <c r="H15" s="2">
        <v>93740</v>
      </c>
      <c r="I15" t="str">
        <f t="shared" si="0"/>
        <v>Apr</v>
      </c>
    </row>
    <row r="16" spans="1:9" x14ac:dyDescent="0.4">
      <c r="A16" s="2" t="s">
        <v>1190</v>
      </c>
      <c r="B16" s="2" t="s">
        <v>312</v>
      </c>
      <c r="C16" s="2" t="s">
        <v>1182</v>
      </c>
      <c r="D16" s="2">
        <v>3</v>
      </c>
      <c r="E16" s="2">
        <v>10000</v>
      </c>
      <c r="F16" s="2"/>
      <c r="G16" s="12">
        <v>44910</v>
      </c>
      <c r="H16" s="2">
        <v>0</v>
      </c>
      <c r="I16" t="str">
        <f t="shared" si="0"/>
        <v>Dec</v>
      </c>
    </row>
    <row r="17" spans="1:9" x14ac:dyDescent="0.4">
      <c r="A17" s="2" t="s">
        <v>1191</v>
      </c>
      <c r="B17" s="2" t="s">
        <v>710</v>
      </c>
      <c r="C17" s="2" t="s">
        <v>1182</v>
      </c>
      <c r="D17" s="2">
        <v>3</v>
      </c>
      <c r="E17" s="2">
        <v>10000</v>
      </c>
      <c r="F17" s="2"/>
      <c r="G17" s="12">
        <v>45815</v>
      </c>
      <c r="H17" s="2">
        <v>0</v>
      </c>
      <c r="I17" t="str">
        <f t="shared" si="0"/>
        <v>Jun</v>
      </c>
    </row>
    <row r="18" spans="1:9" x14ac:dyDescent="0.4">
      <c r="A18" s="2" t="s">
        <v>1192</v>
      </c>
      <c r="B18" s="2" t="s">
        <v>797</v>
      </c>
      <c r="C18" s="2" t="s">
        <v>1171</v>
      </c>
      <c r="D18" s="2">
        <v>1</v>
      </c>
      <c r="E18" s="2">
        <v>15000</v>
      </c>
      <c r="F18" s="2">
        <v>70639</v>
      </c>
      <c r="G18" s="12">
        <v>45392</v>
      </c>
      <c r="H18" s="2">
        <v>70639</v>
      </c>
      <c r="I18" t="str">
        <f t="shared" si="0"/>
        <v>Apr</v>
      </c>
    </row>
    <row r="19" spans="1:9" x14ac:dyDescent="0.4">
      <c r="A19" s="2" t="s">
        <v>1193</v>
      </c>
      <c r="B19" s="2" t="s">
        <v>1151</v>
      </c>
      <c r="C19" s="2" t="s">
        <v>1180</v>
      </c>
      <c r="D19" s="2">
        <v>5</v>
      </c>
      <c r="E19" s="2">
        <v>15000</v>
      </c>
      <c r="F19" s="2"/>
      <c r="G19" s="12">
        <v>45277</v>
      </c>
      <c r="H19" s="2">
        <v>0</v>
      </c>
      <c r="I19" t="str">
        <f t="shared" si="0"/>
        <v>Dec</v>
      </c>
    </row>
    <row r="20" spans="1:9" x14ac:dyDescent="0.4">
      <c r="A20" s="2" t="s">
        <v>1194</v>
      </c>
      <c r="B20" s="2" t="s">
        <v>950</v>
      </c>
      <c r="C20" s="2" t="s">
        <v>1187</v>
      </c>
      <c r="D20" s="2">
        <v>1</v>
      </c>
      <c r="E20" s="2">
        <v>10000</v>
      </c>
      <c r="F20" s="2"/>
      <c r="G20" s="12">
        <v>45788</v>
      </c>
      <c r="H20" s="2">
        <v>0</v>
      </c>
      <c r="I20" t="str">
        <f t="shared" si="0"/>
        <v>May</v>
      </c>
    </row>
    <row r="21" spans="1:9" x14ac:dyDescent="0.4">
      <c r="A21" s="2" t="s">
        <v>1195</v>
      </c>
      <c r="B21" s="2" t="s">
        <v>876</v>
      </c>
      <c r="C21" s="2" t="s">
        <v>1187</v>
      </c>
      <c r="D21" s="2">
        <v>3</v>
      </c>
      <c r="E21" s="2">
        <v>10000</v>
      </c>
      <c r="F21" s="2">
        <v>14963</v>
      </c>
      <c r="G21" s="12">
        <v>45206</v>
      </c>
      <c r="H21" s="2">
        <v>14963</v>
      </c>
      <c r="I21" t="str">
        <f t="shared" si="0"/>
        <v>Oct</v>
      </c>
    </row>
    <row r="22" spans="1:9" x14ac:dyDescent="0.4">
      <c r="A22" s="2" t="s">
        <v>1196</v>
      </c>
      <c r="B22" s="2" t="s">
        <v>467</v>
      </c>
      <c r="C22" s="2" t="s">
        <v>1171</v>
      </c>
      <c r="D22" s="2">
        <v>1</v>
      </c>
      <c r="E22" s="2">
        <v>5000</v>
      </c>
      <c r="F22" s="2">
        <v>84320</v>
      </c>
      <c r="G22" s="12">
        <v>44912</v>
      </c>
      <c r="H22" s="2">
        <v>84320</v>
      </c>
      <c r="I22" t="str">
        <f t="shared" si="0"/>
        <v>Dec</v>
      </c>
    </row>
    <row r="23" spans="1:9" x14ac:dyDescent="0.4">
      <c r="A23" s="2" t="s">
        <v>1197</v>
      </c>
      <c r="B23" s="2" t="s">
        <v>629</v>
      </c>
      <c r="C23" s="2" t="s">
        <v>1173</v>
      </c>
      <c r="D23" s="2">
        <v>3</v>
      </c>
      <c r="E23" s="2">
        <v>15000</v>
      </c>
      <c r="F23" s="2"/>
      <c r="G23" s="12">
        <v>45399</v>
      </c>
      <c r="H23" s="2">
        <v>0</v>
      </c>
      <c r="I23" t="str">
        <f t="shared" si="0"/>
        <v>Apr</v>
      </c>
    </row>
    <row r="24" spans="1:9" x14ac:dyDescent="0.4">
      <c r="A24" s="2" t="s">
        <v>1198</v>
      </c>
      <c r="B24" s="2" t="s">
        <v>388</v>
      </c>
      <c r="C24" s="2" t="s">
        <v>1187</v>
      </c>
      <c r="D24" s="2">
        <v>3</v>
      </c>
      <c r="E24" s="2">
        <v>20000</v>
      </c>
      <c r="F24" s="2">
        <v>88115</v>
      </c>
      <c r="G24" s="12">
        <v>45835</v>
      </c>
      <c r="H24" s="2">
        <v>88115</v>
      </c>
      <c r="I24" t="str">
        <f t="shared" si="0"/>
        <v>Jun</v>
      </c>
    </row>
    <row r="25" spans="1:9" x14ac:dyDescent="0.4">
      <c r="A25" s="2" t="s">
        <v>1199</v>
      </c>
      <c r="B25" s="2" t="s">
        <v>1069</v>
      </c>
      <c r="C25" s="2" t="s">
        <v>1171</v>
      </c>
      <c r="D25" s="2">
        <v>4</v>
      </c>
      <c r="E25" s="2"/>
      <c r="F25" s="2">
        <v>64054</v>
      </c>
      <c r="G25" s="12">
        <v>45544</v>
      </c>
      <c r="H25" s="2">
        <v>64054</v>
      </c>
      <c r="I25" t="str">
        <f t="shared" si="0"/>
        <v>Sep</v>
      </c>
    </row>
    <row r="26" spans="1:9" x14ac:dyDescent="0.4">
      <c r="A26" s="2" t="s">
        <v>1200</v>
      </c>
      <c r="B26" s="2" t="s">
        <v>719</v>
      </c>
      <c r="C26" s="2" t="s">
        <v>1182</v>
      </c>
      <c r="D26" s="2"/>
      <c r="E26" s="2">
        <v>15000</v>
      </c>
      <c r="F26" s="2">
        <v>34902</v>
      </c>
      <c r="G26" s="12">
        <v>45534</v>
      </c>
      <c r="H26" s="2">
        <v>34902</v>
      </c>
      <c r="I26" t="str">
        <f t="shared" si="0"/>
        <v>Aug</v>
      </c>
    </row>
    <row r="27" spans="1:9" x14ac:dyDescent="0.4">
      <c r="A27" s="2" t="s">
        <v>1201</v>
      </c>
      <c r="B27" s="2" t="s">
        <v>60</v>
      </c>
      <c r="C27" s="2" t="s">
        <v>1173</v>
      </c>
      <c r="D27" s="2">
        <v>3</v>
      </c>
      <c r="E27" s="2">
        <v>15000</v>
      </c>
      <c r="F27" s="2">
        <v>77487</v>
      </c>
      <c r="G27" s="12">
        <v>44958</v>
      </c>
      <c r="H27" s="2">
        <v>77487</v>
      </c>
      <c r="I27" t="str">
        <f t="shared" si="0"/>
        <v>Feb</v>
      </c>
    </row>
    <row r="28" spans="1:9" x14ac:dyDescent="0.4">
      <c r="A28" s="2" t="s">
        <v>1202</v>
      </c>
      <c r="B28" s="2" t="s">
        <v>589</v>
      </c>
      <c r="C28" s="2" t="s">
        <v>1175</v>
      </c>
      <c r="D28" s="2">
        <v>5</v>
      </c>
      <c r="E28" s="2">
        <v>10000</v>
      </c>
      <c r="F28" s="2"/>
      <c r="G28" s="12">
        <v>45039</v>
      </c>
      <c r="H28" s="2">
        <v>0</v>
      </c>
      <c r="I28" t="str">
        <f t="shared" si="0"/>
        <v>Apr</v>
      </c>
    </row>
    <row r="29" spans="1:9" x14ac:dyDescent="0.4">
      <c r="A29" s="2" t="s">
        <v>1203</v>
      </c>
      <c r="B29" s="2" t="s">
        <v>1110</v>
      </c>
      <c r="C29" s="2" t="s">
        <v>1182</v>
      </c>
      <c r="D29" s="2">
        <v>2</v>
      </c>
      <c r="E29" s="2">
        <v>15000</v>
      </c>
      <c r="F29" s="2">
        <v>94088</v>
      </c>
      <c r="G29" s="12">
        <v>45729</v>
      </c>
      <c r="H29" s="2">
        <v>94088</v>
      </c>
      <c r="I29" t="str">
        <f t="shared" si="0"/>
        <v>Mar</v>
      </c>
    </row>
    <row r="30" spans="1:9" x14ac:dyDescent="0.4">
      <c r="A30" s="2" t="s">
        <v>1204</v>
      </c>
      <c r="B30" s="2" t="s">
        <v>164</v>
      </c>
      <c r="C30" s="2" t="s">
        <v>1173</v>
      </c>
      <c r="D30" s="2">
        <v>5</v>
      </c>
      <c r="E30" s="2">
        <v>20000</v>
      </c>
      <c r="F30" s="2">
        <v>16232</v>
      </c>
      <c r="G30" s="12">
        <v>45472</v>
      </c>
      <c r="H30" s="2">
        <v>16232</v>
      </c>
      <c r="I30" t="str">
        <f t="shared" si="0"/>
        <v>Jun</v>
      </c>
    </row>
    <row r="31" spans="1:9" x14ac:dyDescent="0.4">
      <c r="A31" s="2" t="s">
        <v>1205</v>
      </c>
      <c r="B31" s="2" t="s">
        <v>740</v>
      </c>
      <c r="C31" s="2" t="s">
        <v>1180</v>
      </c>
      <c r="D31" s="2">
        <v>2</v>
      </c>
      <c r="E31" s="2">
        <v>15000</v>
      </c>
      <c r="F31" s="2"/>
      <c r="G31" s="12">
        <v>45923</v>
      </c>
      <c r="H31" s="2">
        <v>0</v>
      </c>
      <c r="I31" t="str">
        <f t="shared" si="0"/>
        <v>Sep</v>
      </c>
    </row>
    <row r="32" spans="1:9" x14ac:dyDescent="0.4">
      <c r="A32" s="2" t="s">
        <v>1206</v>
      </c>
      <c r="B32" s="2" t="s">
        <v>1114</v>
      </c>
      <c r="C32" s="2" t="s">
        <v>1171</v>
      </c>
      <c r="D32" s="2"/>
      <c r="E32" s="2"/>
      <c r="F32" s="2">
        <v>15752</v>
      </c>
      <c r="G32" s="12">
        <v>45316</v>
      </c>
      <c r="H32" s="2">
        <v>15752</v>
      </c>
      <c r="I32" t="str">
        <f t="shared" si="0"/>
        <v>Jan</v>
      </c>
    </row>
    <row r="33" spans="1:9" x14ac:dyDescent="0.4">
      <c r="A33" s="2" t="s">
        <v>1207</v>
      </c>
      <c r="B33" s="2" t="s">
        <v>462</v>
      </c>
      <c r="C33" s="2" t="s">
        <v>1180</v>
      </c>
      <c r="D33" s="2"/>
      <c r="E33" s="2"/>
      <c r="F33" s="2">
        <v>25214</v>
      </c>
      <c r="G33" s="12">
        <v>45700</v>
      </c>
      <c r="H33" s="2">
        <v>25214</v>
      </c>
      <c r="I33" t="str">
        <f t="shared" si="0"/>
        <v>Feb</v>
      </c>
    </row>
    <row r="34" spans="1:9" x14ac:dyDescent="0.4">
      <c r="A34" s="2" t="s">
        <v>1208</v>
      </c>
      <c r="B34" s="2" t="s">
        <v>578</v>
      </c>
      <c r="C34" s="2" t="s">
        <v>1182</v>
      </c>
      <c r="D34" s="2"/>
      <c r="E34" s="2">
        <v>20000</v>
      </c>
      <c r="F34" s="2"/>
      <c r="G34" s="12">
        <v>45590</v>
      </c>
      <c r="H34" s="2">
        <v>0</v>
      </c>
      <c r="I34" t="str">
        <f t="shared" si="0"/>
        <v>Oct</v>
      </c>
    </row>
    <row r="35" spans="1:9" x14ac:dyDescent="0.4">
      <c r="A35" s="2" t="s">
        <v>1209</v>
      </c>
      <c r="B35" s="2" t="s">
        <v>1126</v>
      </c>
      <c r="C35" s="2" t="s">
        <v>1180</v>
      </c>
      <c r="D35" s="2">
        <v>4</v>
      </c>
      <c r="E35" s="2">
        <v>20000</v>
      </c>
      <c r="F35" s="2">
        <v>56068</v>
      </c>
      <c r="G35" s="12">
        <v>45528</v>
      </c>
      <c r="H35" s="2">
        <v>56068</v>
      </c>
      <c r="I35" t="str">
        <f t="shared" si="0"/>
        <v>Aug</v>
      </c>
    </row>
    <row r="36" spans="1:9" x14ac:dyDescent="0.4">
      <c r="A36" s="2" t="s">
        <v>1210</v>
      </c>
      <c r="B36" s="2" t="s">
        <v>312</v>
      </c>
      <c r="C36" s="2" t="s">
        <v>1173</v>
      </c>
      <c r="D36" s="2">
        <v>3</v>
      </c>
      <c r="E36" s="2">
        <v>10000</v>
      </c>
      <c r="F36" s="2"/>
      <c r="G36" s="12">
        <v>45759</v>
      </c>
      <c r="H36" s="2">
        <v>0</v>
      </c>
      <c r="I36" t="str">
        <f t="shared" si="0"/>
        <v>Apr</v>
      </c>
    </row>
    <row r="37" spans="1:9" x14ac:dyDescent="0.4">
      <c r="A37" s="2" t="s">
        <v>1211</v>
      </c>
      <c r="B37" s="2" t="s">
        <v>1143</v>
      </c>
      <c r="C37" s="2" t="s">
        <v>1175</v>
      </c>
      <c r="D37" s="2">
        <v>4</v>
      </c>
      <c r="E37" s="2"/>
      <c r="F37" s="2"/>
      <c r="G37" s="12">
        <v>45752</v>
      </c>
      <c r="H37" s="2">
        <v>0</v>
      </c>
      <c r="I37" t="str">
        <f t="shared" si="0"/>
        <v>Apr</v>
      </c>
    </row>
    <row r="38" spans="1:9" x14ac:dyDescent="0.4">
      <c r="A38" s="2" t="s">
        <v>1212</v>
      </c>
      <c r="B38" s="2" t="s">
        <v>56</v>
      </c>
      <c r="C38" s="2" t="s">
        <v>1180</v>
      </c>
      <c r="D38" s="2">
        <v>3</v>
      </c>
      <c r="E38" s="2">
        <v>15000</v>
      </c>
      <c r="F38" s="2">
        <v>45405</v>
      </c>
      <c r="G38" s="12">
        <v>45676</v>
      </c>
      <c r="H38" s="2">
        <v>45405</v>
      </c>
      <c r="I38" t="str">
        <f t="shared" si="0"/>
        <v>Jan</v>
      </c>
    </row>
    <row r="39" spans="1:9" x14ac:dyDescent="0.4">
      <c r="A39" s="2" t="s">
        <v>1213</v>
      </c>
      <c r="B39" s="2" t="s">
        <v>402</v>
      </c>
      <c r="C39" s="2" t="s">
        <v>1182</v>
      </c>
      <c r="D39" s="2">
        <v>5</v>
      </c>
      <c r="E39" s="2">
        <v>15000</v>
      </c>
      <c r="F39" s="2">
        <v>52175</v>
      </c>
      <c r="G39" s="12">
        <v>45274</v>
      </c>
      <c r="H39" s="2">
        <v>52175</v>
      </c>
      <c r="I39" t="str">
        <f t="shared" si="0"/>
        <v>Dec</v>
      </c>
    </row>
    <row r="40" spans="1:9" x14ac:dyDescent="0.4">
      <c r="A40" s="2" t="s">
        <v>1214</v>
      </c>
      <c r="B40" s="2" t="s">
        <v>628</v>
      </c>
      <c r="C40" s="2" t="s">
        <v>1182</v>
      </c>
      <c r="D40" s="2">
        <v>4</v>
      </c>
      <c r="E40" s="2">
        <v>15000</v>
      </c>
      <c r="F40" s="2"/>
      <c r="G40" s="12">
        <v>45122</v>
      </c>
      <c r="H40" s="2">
        <v>0</v>
      </c>
      <c r="I40" t="str">
        <f t="shared" si="0"/>
        <v>Jul</v>
      </c>
    </row>
    <row r="41" spans="1:9" x14ac:dyDescent="0.4">
      <c r="A41" s="2" t="s">
        <v>1215</v>
      </c>
      <c r="B41" s="2" t="s">
        <v>884</v>
      </c>
      <c r="C41" s="2" t="s">
        <v>1187</v>
      </c>
      <c r="D41" s="2">
        <v>4</v>
      </c>
      <c r="E41" s="2">
        <v>5000</v>
      </c>
      <c r="F41" s="2"/>
      <c r="G41" s="12">
        <v>45462</v>
      </c>
      <c r="H41" s="2">
        <v>0</v>
      </c>
      <c r="I41" t="str">
        <f t="shared" si="0"/>
        <v>Jun</v>
      </c>
    </row>
    <row r="42" spans="1:9" x14ac:dyDescent="0.4">
      <c r="A42" s="2" t="s">
        <v>1216</v>
      </c>
      <c r="B42" s="2" t="s">
        <v>727</v>
      </c>
      <c r="C42" s="2" t="s">
        <v>1180</v>
      </c>
      <c r="D42" s="2">
        <v>5</v>
      </c>
      <c r="E42" s="2">
        <v>5000</v>
      </c>
      <c r="F42" s="2">
        <v>61489</v>
      </c>
      <c r="G42" s="12">
        <v>45595</v>
      </c>
      <c r="H42" s="2">
        <v>61489</v>
      </c>
      <c r="I42" t="str">
        <f t="shared" si="0"/>
        <v>Oct</v>
      </c>
    </row>
    <row r="43" spans="1:9" x14ac:dyDescent="0.4">
      <c r="A43" s="2" t="s">
        <v>1217</v>
      </c>
      <c r="B43" s="2" t="s">
        <v>42</v>
      </c>
      <c r="C43" s="2" t="s">
        <v>1173</v>
      </c>
      <c r="D43" s="2">
        <v>2</v>
      </c>
      <c r="E43" s="2">
        <v>20000</v>
      </c>
      <c r="F43" s="2">
        <v>78005</v>
      </c>
      <c r="G43" s="12">
        <v>45240</v>
      </c>
      <c r="H43" s="2">
        <v>78005</v>
      </c>
      <c r="I43" t="str">
        <f t="shared" si="0"/>
        <v>Nov</v>
      </c>
    </row>
    <row r="44" spans="1:9" x14ac:dyDescent="0.4">
      <c r="A44" s="2" t="s">
        <v>1218</v>
      </c>
      <c r="B44" s="2" t="s">
        <v>573</v>
      </c>
      <c r="C44" s="2" t="s">
        <v>1173</v>
      </c>
      <c r="D44" s="2">
        <v>4</v>
      </c>
      <c r="E44" s="2">
        <v>10000</v>
      </c>
      <c r="F44" s="2"/>
      <c r="G44" s="12">
        <v>45074</v>
      </c>
      <c r="H44" s="2">
        <v>0</v>
      </c>
      <c r="I44" t="str">
        <f t="shared" si="0"/>
        <v>May</v>
      </c>
    </row>
    <row r="45" spans="1:9" x14ac:dyDescent="0.4">
      <c r="A45" s="2" t="s">
        <v>1219</v>
      </c>
      <c r="B45" s="2" t="s">
        <v>801</v>
      </c>
      <c r="C45" s="2" t="s">
        <v>1187</v>
      </c>
      <c r="D45" s="2">
        <v>5</v>
      </c>
      <c r="E45" s="2">
        <v>5000</v>
      </c>
      <c r="F45" s="2">
        <v>16746</v>
      </c>
      <c r="G45" s="12">
        <v>44893</v>
      </c>
      <c r="H45" s="2">
        <v>16746</v>
      </c>
      <c r="I45" t="str">
        <f t="shared" si="0"/>
        <v>Nov</v>
      </c>
    </row>
    <row r="46" spans="1:9" x14ac:dyDescent="0.4">
      <c r="A46" s="2" t="s">
        <v>1220</v>
      </c>
      <c r="B46" s="2" t="s">
        <v>786</v>
      </c>
      <c r="C46" s="2" t="s">
        <v>1180</v>
      </c>
      <c r="D46" s="2">
        <v>1</v>
      </c>
      <c r="E46" s="2"/>
      <c r="F46" s="2"/>
      <c r="G46" s="12">
        <v>45306</v>
      </c>
      <c r="H46" s="2">
        <v>0</v>
      </c>
      <c r="I46" t="str">
        <f t="shared" si="0"/>
        <v>Jan</v>
      </c>
    </row>
    <row r="47" spans="1:9" x14ac:dyDescent="0.4">
      <c r="A47" s="2" t="s">
        <v>1221</v>
      </c>
      <c r="B47" s="2" t="s">
        <v>243</v>
      </c>
      <c r="C47" s="2" t="s">
        <v>1171</v>
      </c>
      <c r="D47" s="2">
        <v>2</v>
      </c>
      <c r="E47" s="2">
        <v>15000</v>
      </c>
      <c r="F47" s="2">
        <v>83240</v>
      </c>
      <c r="G47" s="12">
        <v>45930</v>
      </c>
      <c r="H47" s="2">
        <v>83240</v>
      </c>
      <c r="I47" t="str">
        <f t="shared" si="0"/>
        <v>Sep</v>
      </c>
    </row>
    <row r="48" spans="1:9" x14ac:dyDescent="0.4">
      <c r="A48" s="2" t="s">
        <v>1222</v>
      </c>
      <c r="B48" s="2" t="s">
        <v>841</v>
      </c>
      <c r="C48" s="2" t="s">
        <v>1171</v>
      </c>
      <c r="D48" s="2">
        <v>5</v>
      </c>
      <c r="E48" s="2">
        <v>15000</v>
      </c>
      <c r="F48" s="2"/>
      <c r="G48" s="12">
        <v>45296</v>
      </c>
      <c r="H48" s="2">
        <v>0</v>
      </c>
      <c r="I48" t="str">
        <f t="shared" si="0"/>
        <v>Jan</v>
      </c>
    </row>
    <row r="49" spans="1:9" x14ac:dyDescent="0.4">
      <c r="A49" s="2" t="s">
        <v>1223</v>
      </c>
      <c r="B49" s="2" t="s">
        <v>1058</v>
      </c>
      <c r="C49" s="2" t="s">
        <v>1187</v>
      </c>
      <c r="D49" s="2">
        <v>4</v>
      </c>
      <c r="E49" s="2">
        <v>20000</v>
      </c>
      <c r="F49" s="2">
        <v>43253</v>
      </c>
      <c r="G49" s="12">
        <v>45002</v>
      </c>
      <c r="H49" s="2">
        <v>43253</v>
      </c>
      <c r="I49" t="str">
        <f t="shared" si="0"/>
        <v>Mar</v>
      </c>
    </row>
    <row r="50" spans="1:9" x14ac:dyDescent="0.4">
      <c r="A50" s="2" t="s">
        <v>1224</v>
      </c>
      <c r="B50" s="2" t="s">
        <v>986</v>
      </c>
      <c r="C50" s="2" t="s">
        <v>1182</v>
      </c>
      <c r="D50" s="2">
        <v>2</v>
      </c>
      <c r="E50" s="2">
        <v>15000</v>
      </c>
      <c r="F50" s="2"/>
      <c r="G50" s="12">
        <v>45258</v>
      </c>
      <c r="H50" s="2">
        <v>0</v>
      </c>
      <c r="I50" t="str">
        <f t="shared" si="0"/>
        <v>Nov</v>
      </c>
    </row>
    <row r="51" spans="1:9" x14ac:dyDescent="0.4">
      <c r="A51" s="2" t="s">
        <v>1225</v>
      </c>
      <c r="B51" s="2" t="s">
        <v>584</v>
      </c>
      <c r="C51" s="2" t="s">
        <v>1175</v>
      </c>
      <c r="D51" s="2"/>
      <c r="E51" s="2">
        <v>20000</v>
      </c>
      <c r="F51" s="2"/>
      <c r="G51" s="12">
        <v>45713</v>
      </c>
      <c r="H51" s="2">
        <v>0</v>
      </c>
      <c r="I51" t="str">
        <f t="shared" si="0"/>
        <v>Feb</v>
      </c>
    </row>
    <row r="52" spans="1:9" x14ac:dyDescent="0.4">
      <c r="A52" s="2" t="s">
        <v>1226</v>
      </c>
      <c r="B52" s="2" t="s">
        <v>98</v>
      </c>
      <c r="C52" s="2" t="s">
        <v>1171</v>
      </c>
      <c r="D52" s="2">
        <v>1</v>
      </c>
      <c r="E52" s="2">
        <v>15000</v>
      </c>
      <c r="F52" s="2"/>
      <c r="G52" s="12">
        <v>45329</v>
      </c>
      <c r="H52" s="2">
        <v>0</v>
      </c>
      <c r="I52" t="str">
        <f t="shared" si="0"/>
        <v>Feb</v>
      </c>
    </row>
    <row r="53" spans="1:9" x14ac:dyDescent="0.4">
      <c r="A53" s="2" t="s">
        <v>1227</v>
      </c>
      <c r="B53" s="2" t="s">
        <v>500</v>
      </c>
      <c r="C53" s="2" t="s">
        <v>1180</v>
      </c>
      <c r="D53" s="2">
        <v>1</v>
      </c>
      <c r="E53" s="2">
        <v>20000</v>
      </c>
      <c r="F53" s="2">
        <v>94825</v>
      </c>
      <c r="G53" s="12">
        <v>45394</v>
      </c>
      <c r="H53" s="2">
        <v>94825</v>
      </c>
      <c r="I53" t="str">
        <f t="shared" si="0"/>
        <v>Apr</v>
      </c>
    </row>
    <row r="54" spans="1:9" x14ac:dyDescent="0.4">
      <c r="A54" s="2" t="s">
        <v>1228</v>
      </c>
      <c r="B54" s="2" t="s">
        <v>216</v>
      </c>
      <c r="C54" s="2" t="s">
        <v>1175</v>
      </c>
      <c r="D54" s="2">
        <v>5</v>
      </c>
      <c r="E54" s="2">
        <v>20000</v>
      </c>
      <c r="F54" s="2"/>
      <c r="G54" s="12">
        <v>45757</v>
      </c>
      <c r="H54" s="2">
        <v>0</v>
      </c>
      <c r="I54" t="str">
        <f t="shared" si="0"/>
        <v>Apr</v>
      </c>
    </row>
    <row r="55" spans="1:9" x14ac:dyDescent="0.4">
      <c r="A55" s="2" t="s">
        <v>1229</v>
      </c>
      <c r="B55" s="2" t="s">
        <v>884</v>
      </c>
      <c r="C55" s="2" t="s">
        <v>1173</v>
      </c>
      <c r="D55" s="2">
        <v>5</v>
      </c>
      <c r="E55" s="2">
        <v>20000</v>
      </c>
      <c r="F55" s="2">
        <v>40247</v>
      </c>
      <c r="G55" s="12">
        <v>45482</v>
      </c>
      <c r="H55" s="2">
        <v>40247</v>
      </c>
      <c r="I55" t="str">
        <f t="shared" si="0"/>
        <v>Jul</v>
      </c>
    </row>
    <row r="56" spans="1:9" x14ac:dyDescent="0.4">
      <c r="A56" s="2" t="s">
        <v>1230</v>
      </c>
      <c r="B56" s="2" t="s">
        <v>12</v>
      </c>
      <c r="C56" s="2" t="s">
        <v>1173</v>
      </c>
      <c r="D56" s="2">
        <v>1</v>
      </c>
      <c r="E56" s="2">
        <v>15000</v>
      </c>
      <c r="F56" s="2">
        <v>40180</v>
      </c>
      <c r="G56" s="12">
        <v>44929</v>
      </c>
      <c r="H56" s="2">
        <v>40180</v>
      </c>
      <c r="I56" t="str">
        <f t="shared" si="0"/>
        <v>Jan</v>
      </c>
    </row>
    <row r="57" spans="1:9" x14ac:dyDescent="0.4">
      <c r="A57" s="2" t="s">
        <v>1231</v>
      </c>
      <c r="B57" s="2" t="s">
        <v>885</v>
      </c>
      <c r="C57" s="2" t="s">
        <v>1171</v>
      </c>
      <c r="D57" s="2">
        <v>2</v>
      </c>
      <c r="E57" s="2">
        <v>15000</v>
      </c>
      <c r="F57" s="2"/>
      <c r="G57" s="12">
        <v>45826</v>
      </c>
      <c r="H57" s="2">
        <v>0</v>
      </c>
      <c r="I57" t="str">
        <f t="shared" si="0"/>
        <v>Jun</v>
      </c>
    </row>
    <row r="58" spans="1:9" x14ac:dyDescent="0.4">
      <c r="A58" s="2" t="s">
        <v>1232</v>
      </c>
      <c r="B58" s="2" t="s">
        <v>256</v>
      </c>
      <c r="C58" s="2" t="s">
        <v>1182</v>
      </c>
      <c r="D58" s="2">
        <v>4</v>
      </c>
      <c r="E58" s="2">
        <v>20000</v>
      </c>
      <c r="F58" s="2">
        <v>26916</v>
      </c>
      <c r="G58" s="12">
        <v>45296</v>
      </c>
      <c r="H58" s="2">
        <v>26916</v>
      </c>
      <c r="I58" t="str">
        <f t="shared" si="0"/>
        <v>Jan</v>
      </c>
    </row>
    <row r="59" spans="1:9" x14ac:dyDescent="0.4">
      <c r="A59" s="2" t="s">
        <v>1233</v>
      </c>
      <c r="B59" s="2" t="s">
        <v>1118</v>
      </c>
      <c r="C59" s="2" t="s">
        <v>1173</v>
      </c>
      <c r="D59" s="2">
        <v>4</v>
      </c>
      <c r="E59" s="2">
        <v>5000</v>
      </c>
      <c r="F59" s="2">
        <v>41170</v>
      </c>
      <c r="G59" s="12">
        <v>45431</v>
      </c>
      <c r="H59" s="2">
        <v>41170</v>
      </c>
      <c r="I59" t="str">
        <f t="shared" si="0"/>
        <v>May</v>
      </c>
    </row>
    <row r="60" spans="1:9" x14ac:dyDescent="0.4">
      <c r="A60" s="2" t="s">
        <v>1234</v>
      </c>
      <c r="B60" s="2" t="s">
        <v>915</v>
      </c>
      <c r="C60" s="2" t="s">
        <v>1175</v>
      </c>
      <c r="D60" s="2">
        <v>2</v>
      </c>
      <c r="E60" s="2">
        <v>10000</v>
      </c>
      <c r="F60" s="2">
        <v>44289</v>
      </c>
      <c r="G60" s="12">
        <v>45287</v>
      </c>
      <c r="H60" s="2">
        <v>44289</v>
      </c>
      <c r="I60" t="str">
        <f t="shared" si="0"/>
        <v>Dec</v>
      </c>
    </row>
    <row r="61" spans="1:9" x14ac:dyDescent="0.4">
      <c r="A61" s="2" t="s">
        <v>1235</v>
      </c>
      <c r="B61" s="2" t="s">
        <v>389</v>
      </c>
      <c r="C61" s="2" t="s">
        <v>1182</v>
      </c>
      <c r="D61" s="2">
        <v>5</v>
      </c>
      <c r="E61" s="2">
        <v>10000</v>
      </c>
      <c r="F61" s="2">
        <v>15082</v>
      </c>
      <c r="G61" s="12">
        <v>45894</v>
      </c>
      <c r="H61" s="2">
        <v>15082</v>
      </c>
      <c r="I61" t="str">
        <f t="shared" si="0"/>
        <v>Aug</v>
      </c>
    </row>
    <row r="62" spans="1:9" x14ac:dyDescent="0.4">
      <c r="A62" s="2" t="s">
        <v>1236</v>
      </c>
      <c r="B62" s="2" t="s">
        <v>484</v>
      </c>
      <c r="C62" s="2" t="s">
        <v>1171</v>
      </c>
      <c r="D62" s="2"/>
      <c r="E62" s="2">
        <v>10000</v>
      </c>
      <c r="F62" s="2"/>
      <c r="G62" s="12">
        <v>45259</v>
      </c>
      <c r="H62" s="2">
        <v>0</v>
      </c>
      <c r="I62" t="str">
        <f t="shared" si="0"/>
        <v>Nov</v>
      </c>
    </row>
    <row r="63" spans="1:9" x14ac:dyDescent="0.4">
      <c r="A63" s="2" t="s">
        <v>1237</v>
      </c>
      <c r="B63" s="2" t="s">
        <v>615</v>
      </c>
      <c r="C63" s="2" t="s">
        <v>1173</v>
      </c>
      <c r="D63" s="2">
        <v>5</v>
      </c>
      <c r="E63" s="2">
        <v>15000</v>
      </c>
      <c r="F63" s="2">
        <v>99489</v>
      </c>
      <c r="G63" s="12">
        <v>45884</v>
      </c>
      <c r="H63" s="2">
        <v>99489</v>
      </c>
      <c r="I63" t="str">
        <f t="shared" si="0"/>
        <v>Aug</v>
      </c>
    </row>
    <row r="64" spans="1:9" x14ac:dyDescent="0.4">
      <c r="A64" s="2" t="s">
        <v>1238</v>
      </c>
      <c r="B64" s="2" t="s">
        <v>619</v>
      </c>
      <c r="C64" s="2" t="s">
        <v>1171</v>
      </c>
      <c r="D64" s="2"/>
      <c r="E64" s="2">
        <v>15000</v>
      </c>
      <c r="F64" s="2"/>
      <c r="G64" s="12">
        <v>45814</v>
      </c>
      <c r="H64" s="2">
        <v>0</v>
      </c>
      <c r="I64" t="str">
        <f t="shared" si="0"/>
        <v>Jun</v>
      </c>
    </row>
    <row r="65" spans="1:9" x14ac:dyDescent="0.4">
      <c r="A65" s="2" t="s">
        <v>1239</v>
      </c>
      <c r="B65" s="2" t="s">
        <v>1062</v>
      </c>
      <c r="C65" s="2" t="s">
        <v>1182</v>
      </c>
      <c r="D65" s="2">
        <v>1</v>
      </c>
      <c r="E65" s="2">
        <v>5000</v>
      </c>
      <c r="F65" s="2"/>
      <c r="G65" s="12">
        <v>44889</v>
      </c>
      <c r="H65" s="2">
        <v>0</v>
      </c>
      <c r="I65" t="str">
        <f t="shared" si="0"/>
        <v>Nov</v>
      </c>
    </row>
    <row r="66" spans="1:9" x14ac:dyDescent="0.4">
      <c r="A66" s="2" t="s">
        <v>1240</v>
      </c>
      <c r="B66" s="2" t="s">
        <v>1074</v>
      </c>
      <c r="C66" s="2" t="s">
        <v>1182</v>
      </c>
      <c r="D66" s="2">
        <v>5</v>
      </c>
      <c r="E66" s="2">
        <v>10000</v>
      </c>
      <c r="F66" s="2">
        <v>22758</v>
      </c>
      <c r="G66" s="12">
        <v>45063</v>
      </c>
      <c r="H66" s="2">
        <v>22758</v>
      </c>
      <c r="I66" t="str">
        <f t="shared" si="0"/>
        <v>May</v>
      </c>
    </row>
    <row r="67" spans="1:9" x14ac:dyDescent="0.4">
      <c r="A67" s="2" t="s">
        <v>1241</v>
      </c>
      <c r="B67" s="2" t="s">
        <v>585</v>
      </c>
      <c r="C67" s="2" t="s">
        <v>1182</v>
      </c>
      <c r="D67" s="2">
        <v>2</v>
      </c>
      <c r="E67" s="2">
        <v>10000</v>
      </c>
      <c r="F67" s="2">
        <v>5887</v>
      </c>
      <c r="G67" s="12">
        <v>45346</v>
      </c>
      <c r="H67" s="2">
        <v>5887</v>
      </c>
      <c r="I67" t="str">
        <f t="shared" ref="I67:I130" si="1">TEXT(G67,"mmm")</f>
        <v>Feb</v>
      </c>
    </row>
    <row r="68" spans="1:9" x14ac:dyDescent="0.4">
      <c r="A68" s="2" t="s">
        <v>1242</v>
      </c>
      <c r="B68" s="2" t="s">
        <v>673</v>
      </c>
      <c r="C68" s="2" t="s">
        <v>1187</v>
      </c>
      <c r="D68" s="2"/>
      <c r="E68" s="2">
        <v>20000</v>
      </c>
      <c r="F68" s="2">
        <v>48544</v>
      </c>
      <c r="G68" s="12">
        <v>45753</v>
      </c>
      <c r="H68" s="2">
        <v>48544</v>
      </c>
      <c r="I68" t="str">
        <f t="shared" si="1"/>
        <v>Apr</v>
      </c>
    </row>
    <row r="69" spans="1:9" x14ac:dyDescent="0.4">
      <c r="A69" s="2" t="s">
        <v>1243</v>
      </c>
      <c r="B69" s="2" t="s">
        <v>781</v>
      </c>
      <c r="C69" s="2" t="s">
        <v>1180</v>
      </c>
      <c r="D69" s="2">
        <v>2</v>
      </c>
      <c r="E69" s="2">
        <v>15000</v>
      </c>
      <c r="F69" s="2">
        <v>48193</v>
      </c>
      <c r="G69" s="12">
        <v>45896</v>
      </c>
      <c r="H69" s="2">
        <v>48193</v>
      </c>
      <c r="I69" t="str">
        <f t="shared" si="1"/>
        <v>Aug</v>
      </c>
    </row>
    <row r="70" spans="1:9" x14ac:dyDescent="0.4">
      <c r="A70" s="2" t="s">
        <v>1244</v>
      </c>
      <c r="B70" s="2" t="s">
        <v>143</v>
      </c>
      <c r="C70" s="2" t="s">
        <v>1187</v>
      </c>
      <c r="D70" s="2">
        <v>4</v>
      </c>
      <c r="E70" s="2">
        <v>10000</v>
      </c>
      <c r="F70" s="2">
        <v>48874</v>
      </c>
      <c r="G70" s="12">
        <v>45368</v>
      </c>
      <c r="H70" s="2">
        <v>48874</v>
      </c>
      <c r="I70" t="str">
        <f t="shared" si="1"/>
        <v>Mar</v>
      </c>
    </row>
    <row r="71" spans="1:9" x14ac:dyDescent="0.4">
      <c r="A71" s="2" t="s">
        <v>1245</v>
      </c>
      <c r="B71" s="2" t="s">
        <v>516</v>
      </c>
      <c r="C71" s="2" t="s">
        <v>1175</v>
      </c>
      <c r="D71" s="2">
        <v>1</v>
      </c>
      <c r="E71" s="2">
        <v>15000</v>
      </c>
      <c r="F71" s="2"/>
      <c r="G71" s="12">
        <v>45280</v>
      </c>
      <c r="H71" s="2">
        <v>0</v>
      </c>
      <c r="I71" t="str">
        <f t="shared" si="1"/>
        <v>Dec</v>
      </c>
    </row>
    <row r="72" spans="1:9" x14ac:dyDescent="0.4">
      <c r="A72" s="2" t="s">
        <v>1246</v>
      </c>
      <c r="B72" s="2" t="s">
        <v>454</v>
      </c>
      <c r="C72" s="2" t="s">
        <v>1182</v>
      </c>
      <c r="D72" s="2">
        <v>2</v>
      </c>
      <c r="E72" s="2">
        <v>5000</v>
      </c>
      <c r="F72" s="2">
        <v>44378</v>
      </c>
      <c r="G72" s="12">
        <v>45147</v>
      </c>
      <c r="H72" s="2">
        <v>44378</v>
      </c>
      <c r="I72" t="str">
        <f t="shared" si="1"/>
        <v>Aug</v>
      </c>
    </row>
    <row r="73" spans="1:9" x14ac:dyDescent="0.4">
      <c r="A73" s="2" t="s">
        <v>1247</v>
      </c>
      <c r="B73" s="2" t="s">
        <v>870</v>
      </c>
      <c r="C73" s="2" t="s">
        <v>1180</v>
      </c>
      <c r="D73" s="2"/>
      <c r="E73" s="2">
        <v>15000</v>
      </c>
      <c r="F73" s="2"/>
      <c r="G73" s="12">
        <v>45559</v>
      </c>
      <c r="H73" s="2">
        <v>0</v>
      </c>
      <c r="I73" t="str">
        <f t="shared" si="1"/>
        <v>Sep</v>
      </c>
    </row>
    <row r="74" spans="1:9" x14ac:dyDescent="0.4">
      <c r="A74" s="2" t="s">
        <v>1248</v>
      </c>
      <c r="B74" s="2" t="s">
        <v>1152</v>
      </c>
      <c r="C74" s="2" t="s">
        <v>1182</v>
      </c>
      <c r="D74" s="2">
        <v>5</v>
      </c>
      <c r="E74" s="2">
        <v>15000</v>
      </c>
      <c r="F74" s="2">
        <v>67784</v>
      </c>
      <c r="G74" s="12">
        <v>45588</v>
      </c>
      <c r="H74" s="2">
        <v>67784</v>
      </c>
      <c r="I74" t="str">
        <f t="shared" si="1"/>
        <v>Oct</v>
      </c>
    </row>
    <row r="75" spans="1:9" x14ac:dyDescent="0.4">
      <c r="A75" s="2" t="s">
        <v>1249</v>
      </c>
      <c r="B75" s="2" t="s">
        <v>116</v>
      </c>
      <c r="C75" s="2" t="s">
        <v>1180</v>
      </c>
      <c r="D75" s="2">
        <v>2</v>
      </c>
      <c r="E75" s="2">
        <v>5000</v>
      </c>
      <c r="F75" s="2">
        <v>28283</v>
      </c>
      <c r="G75" s="12">
        <v>44896</v>
      </c>
      <c r="H75" s="2">
        <v>28283</v>
      </c>
      <c r="I75" t="str">
        <f t="shared" si="1"/>
        <v>Dec</v>
      </c>
    </row>
    <row r="76" spans="1:9" x14ac:dyDescent="0.4">
      <c r="A76" s="2" t="s">
        <v>1250</v>
      </c>
      <c r="B76" s="2" t="s">
        <v>375</v>
      </c>
      <c r="C76" s="2" t="s">
        <v>1173</v>
      </c>
      <c r="D76" s="2">
        <v>2</v>
      </c>
      <c r="E76" s="2">
        <v>15000</v>
      </c>
      <c r="F76" s="2">
        <v>46830</v>
      </c>
      <c r="G76" s="12">
        <v>45553</v>
      </c>
      <c r="H76" s="2">
        <v>46830</v>
      </c>
      <c r="I76" t="str">
        <f t="shared" si="1"/>
        <v>Sep</v>
      </c>
    </row>
    <row r="77" spans="1:9" x14ac:dyDescent="0.4">
      <c r="A77" s="2" t="s">
        <v>1251</v>
      </c>
      <c r="B77" s="2" t="s">
        <v>46</v>
      </c>
      <c r="C77" s="2" t="s">
        <v>1175</v>
      </c>
      <c r="D77" s="2"/>
      <c r="E77" s="2">
        <v>10000</v>
      </c>
      <c r="F77" s="2">
        <v>96089</v>
      </c>
      <c r="G77" s="12">
        <v>44883</v>
      </c>
      <c r="H77" s="2">
        <v>96089</v>
      </c>
      <c r="I77" t="str">
        <f t="shared" si="1"/>
        <v>Nov</v>
      </c>
    </row>
    <row r="78" spans="1:9" x14ac:dyDescent="0.4">
      <c r="A78" s="2" t="s">
        <v>1252</v>
      </c>
      <c r="B78" s="2" t="s">
        <v>179</v>
      </c>
      <c r="C78" s="2" t="s">
        <v>1180</v>
      </c>
      <c r="D78" s="2">
        <v>4</v>
      </c>
      <c r="E78" s="2">
        <v>15000</v>
      </c>
      <c r="F78" s="2"/>
      <c r="G78" s="12">
        <v>45594</v>
      </c>
      <c r="H78" s="2">
        <v>0</v>
      </c>
      <c r="I78" t="str">
        <f t="shared" si="1"/>
        <v>Oct</v>
      </c>
    </row>
    <row r="79" spans="1:9" x14ac:dyDescent="0.4">
      <c r="A79" s="2" t="s">
        <v>1253</v>
      </c>
      <c r="B79" s="2" t="s">
        <v>669</v>
      </c>
      <c r="C79" s="2" t="s">
        <v>1175</v>
      </c>
      <c r="D79" s="2"/>
      <c r="E79" s="2">
        <v>5000</v>
      </c>
      <c r="F79" s="2">
        <v>47714</v>
      </c>
      <c r="G79" s="12">
        <v>44927</v>
      </c>
      <c r="H79" s="2">
        <v>47714</v>
      </c>
      <c r="I79" t="str">
        <f t="shared" si="1"/>
        <v>Jan</v>
      </c>
    </row>
    <row r="80" spans="1:9" x14ac:dyDescent="0.4">
      <c r="A80" s="2" t="s">
        <v>1254</v>
      </c>
      <c r="B80" s="2" t="s">
        <v>797</v>
      </c>
      <c r="C80" s="2" t="s">
        <v>1171</v>
      </c>
      <c r="D80" s="2">
        <v>1</v>
      </c>
      <c r="E80" s="2">
        <v>20000</v>
      </c>
      <c r="F80" s="2">
        <v>41739</v>
      </c>
      <c r="G80" s="12">
        <v>45427</v>
      </c>
      <c r="H80" s="2">
        <v>41739</v>
      </c>
      <c r="I80" t="str">
        <f t="shared" si="1"/>
        <v>May</v>
      </c>
    </row>
    <row r="81" spans="1:9" x14ac:dyDescent="0.4">
      <c r="A81" s="2" t="s">
        <v>1255</v>
      </c>
      <c r="B81" s="2" t="s">
        <v>307</v>
      </c>
      <c r="C81" s="2" t="s">
        <v>1182</v>
      </c>
      <c r="D81" s="2"/>
      <c r="E81" s="2">
        <v>15000</v>
      </c>
      <c r="F81" s="2"/>
      <c r="G81" s="12">
        <v>45615</v>
      </c>
      <c r="H81" s="2">
        <v>0</v>
      </c>
      <c r="I81" t="str">
        <f t="shared" si="1"/>
        <v>Nov</v>
      </c>
    </row>
    <row r="82" spans="1:9" x14ac:dyDescent="0.4">
      <c r="A82" s="2" t="s">
        <v>1256</v>
      </c>
      <c r="B82" s="2" t="s">
        <v>1101</v>
      </c>
      <c r="C82" s="2" t="s">
        <v>1173</v>
      </c>
      <c r="D82" s="2">
        <v>2</v>
      </c>
      <c r="E82" s="2">
        <v>5000</v>
      </c>
      <c r="F82" s="2"/>
      <c r="G82" s="12">
        <v>45860</v>
      </c>
      <c r="H82" s="2">
        <v>0</v>
      </c>
      <c r="I82" t="str">
        <f t="shared" si="1"/>
        <v>Jul</v>
      </c>
    </row>
    <row r="83" spans="1:9" x14ac:dyDescent="0.4">
      <c r="A83" s="2" t="s">
        <v>1257</v>
      </c>
      <c r="B83" s="2" t="s">
        <v>174</v>
      </c>
      <c r="C83" s="2" t="s">
        <v>1171</v>
      </c>
      <c r="D83" s="2">
        <v>2</v>
      </c>
      <c r="E83" s="2"/>
      <c r="F83" s="2"/>
      <c r="G83" s="12">
        <v>45734</v>
      </c>
      <c r="H83" s="2">
        <v>0</v>
      </c>
      <c r="I83" t="str">
        <f t="shared" si="1"/>
        <v>Mar</v>
      </c>
    </row>
    <row r="84" spans="1:9" x14ac:dyDescent="0.4">
      <c r="A84" s="2" t="s">
        <v>1258</v>
      </c>
      <c r="B84" s="2" t="s">
        <v>330</v>
      </c>
      <c r="C84" s="2" t="s">
        <v>1180</v>
      </c>
      <c r="D84" s="2"/>
      <c r="E84" s="2"/>
      <c r="F84" s="2"/>
      <c r="G84" s="12">
        <v>45208</v>
      </c>
      <c r="H84" s="2">
        <v>0</v>
      </c>
      <c r="I84" t="str">
        <f t="shared" si="1"/>
        <v>Oct</v>
      </c>
    </row>
    <row r="85" spans="1:9" x14ac:dyDescent="0.4">
      <c r="A85" s="2" t="s">
        <v>1259</v>
      </c>
      <c r="B85" s="2" t="s">
        <v>1162</v>
      </c>
      <c r="C85" s="2" t="s">
        <v>1187</v>
      </c>
      <c r="D85" s="2">
        <v>4</v>
      </c>
      <c r="E85" s="2">
        <v>15000</v>
      </c>
      <c r="F85" s="2"/>
      <c r="G85" s="12">
        <v>45504</v>
      </c>
      <c r="H85" s="2">
        <v>0</v>
      </c>
      <c r="I85" t="str">
        <f t="shared" si="1"/>
        <v>Jul</v>
      </c>
    </row>
    <row r="86" spans="1:9" x14ac:dyDescent="0.4">
      <c r="A86" s="2" t="s">
        <v>1260</v>
      </c>
      <c r="B86" s="2" t="s">
        <v>890</v>
      </c>
      <c r="C86" s="2" t="s">
        <v>1180</v>
      </c>
      <c r="D86" s="2">
        <v>5</v>
      </c>
      <c r="E86" s="2">
        <v>10000</v>
      </c>
      <c r="F86" s="2">
        <v>62469</v>
      </c>
      <c r="G86" s="12">
        <v>44961</v>
      </c>
      <c r="H86" s="2">
        <v>62469</v>
      </c>
      <c r="I86" t="str">
        <f t="shared" si="1"/>
        <v>Feb</v>
      </c>
    </row>
    <row r="87" spans="1:9" x14ac:dyDescent="0.4">
      <c r="A87" s="2" t="s">
        <v>1261</v>
      </c>
      <c r="B87" s="2" t="s">
        <v>964</v>
      </c>
      <c r="C87" s="2" t="s">
        <v>1182</v>
      </c>
      <c r="D87" s="2">
        <v>2</v>
      </c>
      <c r="E87" s="2">
        <v>15000</v>
      </c>
      <c r="F87" s="2"/>
      <c r="G87" s="12">
        <v>45770</v>
      </c>
      <c r="H87" s="2">
        <v>0</v>
      </c>
      <c r="I87" t="str">
        <f t="shared" si="1"/>
        <v>Apr</v>
      </c>
    </row>
    <row r="88" spans="1:9" x14ac:dyDescent="0.4">
      <c r="A88" s="2" t="s">
        <v>1262</v>
      </c>
      <c r="B88" s="2" t="s">
        <v>656</v>
      </c>
      <c r="C88" s="2" t="s">
        <v>1180</v>
      </c>
      <c r="D88" s="2">
        <v>5</v>
      </c>
      <c r="E88" s="2">
        <v>15000</v>
      </c>
      <c r="F88" s="2">
        <v>58627</v>
      </c>
      <c r="G88" s="12">
        <v>44993</v>
      </c>
      <c r="H88" s="2">
        <v>58627</v>
      </c>
      <c r="I88" t="str">
        <f t="shared" si="1"/>
        <v>Mar</v>
      </c>
    </row>
    <row r="89" spans="1:9" x14ac:dyDescent="0.4">
      <c r="A89" s="2" t="s">
        <v>1263</v>
      </c>
      <c r="B89" s="2" t="s">
        <v>869</v>
      </c>
      <c r="C89" s="2" t="s">
        <v>1175</v>
      </c>
      <c r="D89" s="2">
        <v>3</v>
      </c>
      <c r="E89" s="2">
        <v>15000</v>
      </c>
      <c r="F89" s="2">
        <v>23242</v>
      </c>
      <c r="G89" s="12">
        <v>45299</v>
      </c>
      <c r="H89" s="2">
        <v>23242</v>
      </c>
      <c r="I89" t="str">
        <f t="shared" si="1"/>
        <v>Jan</v>
      </c>
    </row>
    <row r="90" spans="1:9" x14ac:dyDescent="0.4">
      <c r="A90" s="2" t="s">
        <v>1264</v>
      </c>
      <c r="B90" s="2" t="s">
        <v>1150</v>
      </c>
      <c r="C90" s="2" t="s">
        <v>1180</v>
      </c>
      <c r="D90" s="2"/>
      <c r="E90" s="2">
        <v>15000</v>
      </c>
      <c r="F90" s="2">
        <v>36722</v>
      </c>
      <c r="G90" s="12">
        <v>45818</v>
      </c>
      <c r="H90" s="2">
        <v>36722</v>
      </c>
      <c r="I90" t="str">
        <f t="shared" si="1"/>
        <v>Jun</v>
      </c>
    </row>
    <row r="91" spans="1:9" x14ac:dyDescent="0.4">
      <c r="A91" s="2" t="s">
        <v>1265</v>
      </c>
      <c r="B91" s="2" t="s">
        <v>546</v>
      </c>
      <c r="C91" s="2" t="s">
        <v>1182</v>
      </c>
      <c r="D91" s="2">
        <v>4</v>
      </c>
      <c r="E91" s="2">
        <v>20000</v>
      </c>
      <c r="F91" s="2"/>
      <c r="G91" s="12">
        <v>45726</v>
      </c>
      <c r="H91" s="2">
        <v>0</v>
      </c>
      <c r="I91" t="str">
        <f t="shared" si="1"/>
        <v>Mar</v>
      </c>
    </row>
    <row r="92" spans="1:9" x14ac:dyDescent="0.4">
      <c r="A92" s="2" t="s">
        <v>1266</v>
      </c>
      <c r="B92" s="2" t="s">
        <v>116</v>
      </c>
      <c r="C92" s="2" t="s">
        <v>1182</v>
      </c>
      <c r="D92" s="2">
        <v>2</v>
      </c>
      <c r="E92" s="2">
        <v>20000</v>
      </c>
      <c r="F92" s="2">
        <v>98747</v>
      </c>
      <c r="G92" s="12">
        <v>45357</v>
      </c>
      <c r="H92" s="2">
        <v>98747</v>
      </c>
      <c r="I92" t="str">
        <f t="shared" si="1"/>
        <v>Mar</v>
      </c>
    </row>
    <row r="93" spans="1:9" x14ac:dyDescent="0.4">
      <c r="A93" s="2" t="s">
        <v>1267</v>
      </c>
      <c r="B93" s="2" t="s">
        <v>73</v>
      </c>
      <c r="C93" s="2" t="s">
        <v>1187</v>
      </c>
      <c r="D93" s="2">
        <v>4</v>
      </c>
      <c r="E93" s="2">
        <v>5000</v>
      </c>
      <c r="F93" s="2"/>
      <c r="G93" s="12">
        <v>44969</v>
      </c>
      <c r="H93" s="2">
        <v>0</v>
      </c>
      <c r="I93" t="str">
        <f t="shared" si="1"/>
        <v>Feb</v>
      </c>
    </row>
    <row r="94" spans="1:9" x14ac:dyDescent="0.4">
      <c r="A94" s="2" t="s">
        <v>1268</v>
      </c>
      <c r="B94" s="2" t="s">
        <v>322</v>
      </c>
      <c r="C94" s="2" t="s">
        <v>1173</v>
      </c>
      <c r="D94" s="2">
        <v>5</v>
      </c>
      <c r="E94" s="2"/>
      <c r="F94" s="2">
        <v>63860</v>
      </c>
      <c r="G94" s="12">
        <v>45554</v>
      </c>
      <c r="H94" s="2">
        <v>63860</v>
      </c>
      <c r="I94" t="str">
        <f t="shared" si="1"/>
        <v>Sep</v>
      </c>
    </row>
    <row r="95" spans="1:9" x14ac:dyDescent="0.4">
      <c r="A95" s="2" t="s">
        <v>1269</v>
      </c>
      <c r="B95" s="2" t="s">
        <v>483</v>
      </c>
      <c r="C95" s="2" t="s">
        <v>1173</v>
      </c>
      <c r="D95" s="2">
        <v>2</v>
      </c>
      <c r="E95" s="2">
        <v>15000</v>
      </c>
      <c r="F95" s="2">
        <v>81315</v>
      </c>
      <c r="G95" s="12">
        <v>45149</v>
      </c>
      <c r="H95" s="2">
        <v>81315</v>
      </c>
      <c r="I95" t="str">
        <f t="shared" si="1"/>
        <v>Aug</v>
      </c>
    </row>
    <row r="96" spans="1:9" x14ac:dyDescent="0.4">
      <c r="A96" s="2" t="s">
        <v>1270</v>
      </c>
      <c r="B96" s="2" t="s">
        <v>90</v>
      </c>
      <c r="C96" s="2" t="s">
        <v>1173</v>
      </c>
      <c r="D96" s="2">
        <v>4</v>
      </c>
      <c r="E96" s="2">
        <v>5000</v>
      </c>
      <c r="F96" s="2">
        <v>75040</v>
      </c>
      <c r="G96" s="12">
        <v>45270</v>
      </c>
      <c r="H96" s="2">
        <v>75040</v>
      </c>
      <c r="I96" t="str">
        <f t="shared" si="1"/>
        <v>Dec</v>
      </c>
    </row>
    <row r="97" spans="1:9" x14ac:dyDescent="0.4">
      <c r="A97" s="2" t="s">
        <v>1271</v>
      </c>
      <c r="B97" s="2" t="s">
        <v>130</v>
      </c>
      <c r="C97" s="2" t="s">
        <v>1171</v>
      </c>
      <c r="D97" s="2">
        <v>2</v>
      </c>
      <c r="E97" s="2"/>
      <c r="F97" s="2"/>
      <c r="G97" s="12">
        <v>45298</v>
      </c>
      <c r="H97" s="2">
        <v>0</v>
      </c>
      <c r="I97" t="str">
        <f t="shared" si="1"/>
        <v>Jan</v>
      </c>
    </row>
    <row r="98" spans="1:9" x14ac:dyDescent="0.4">
      <c r="A98" s="2" t="s">
        <v>1272</v>
      </c>
      <c r="B98" s="2" t="s">
        <v>130</v>
      </c>
      <c r="C98" s="2" t="s">
        <v>1173</v>
      </c>
      <c r="D98" s="2">
        <v>4</v>
      </c>
      <c r="E98" s="2">
        <v>15000</v>
      </c>
      <c r="F98" s="2"/>
      <c r="G98" s="12">
        <v>45273</v>
      </c>
      <c r="H98" s="2">
        <v>0</v>
      </c>
      <c r="I98" t="str">
        <f t="shared" si="1"/>
        <v>Dec</v>
      </c>
    </row>
    <row r="99" spans="1:9" x14ac:dyDescent="0.4">
      <c r="A99" s="2" t="s">
        <v>1273</v>
      </c>
      <c r="B99" s="2" t="s">
        <v>931</v>
      </c>
      <c r="C99" s="2" t="s">
        <v>1171</v>
      </c>
      <c r="D99" s="2">
        <v>4</v>
      </c>
      <c r="E99" s="2">
        <v>10000</v>
      </c>
      <c r="F99" s="2"/>
      <c r="G99" s="12">
        <v>45638</v>
      </c>
      <c r="H99" s="2">
        <v>0</v>
      </c>
      <c r="I99" t="str">
        <f t="shared" si="1"/>
        <v>Dec</v>
      </c>
    </row>
    <row r="100" spans="1:9" x14ac:dyDescent="0.4">
      <c r="A100" s="2" t="s">
        <v>1274</v>
      </c>
      <c r="B100" s="2" t="s">
        <v>249</v>
      </c>
      <c r="C100" s="2" t="s">
        <v>1180</v>
      </c>
      <c r="D100" s="2">
        <v>4</v>
      </c>
      <c r="E100" s="2">
        <v>20000</v>
      </c>
      <c r="F100" s="2">
        <v>91193</v>
      </c>
      <c r="G100" s="12">
        <v>45067</v>
      </c>
      <c r="H100" s="2">
        <v>91193</v>
      </c>
      <c r="I100" t="str">
        <f t="shared" si="1"/>
        <v>May</v>
      </c>
    </row>
    <row r="101" spans="1:9" x14ac:dyDescent="0.4">
      <c r="A101" s="2" t="s">
        <v>1275</v>
      </c>
      <c r="B101" s="2" t="s">
        <v>1074</v>
      </c>
      <c r="C101" s="2" t="s">
        <v>1187</v>
      </c>
      <c r="D101" s="2">
        <v>1</v>
      </c>
      <c r="E101" s="2">
        <v>15000</v>
      </c>
      <c r="F101" s="2"/>
      <c r="G101" s="12">
        <v>45223</v>
      </c>
      <c r="H101" s="2">
        <v>0</v>
      </c>
      <c r="I101" t="str">
        <f t="shared" si="1"/>
        <v>Oct</v>
      </c>
    </row>
    <row r="102" spans="1:9" x14ac:dyDescent="0.4">
      <c r="A102" s="2" t="s">
        <v>1276</v>
      </c>
      <c r="B102" s="2" t="s">
        <v>22</v>
      </c>
      <c r="C102" s="2" t="s">
        <v>1182</v>
      </c>
      <c r="D102" s="2">
        <v>1</v>
      </c>
      <c r="E102" s="2"/>
      <c r="F102" s="2">
        <v>78822</v>
      </c>
      <c r="G102" s="12">
        <v>45849</v>
      </c>
      <c r="H102" s="2">
        <v>78822</v>
      </c>
      <c r="I102" t="str">
        <f t="shared" si="1"/>
        <v>Jul</v>
      </c>
    </row>
    <row r="103" spans="1:9" x14ac:dyDescent="0.4">
      <c r="A103" s="2" t="s">
        <v>1277</v>
      </c>
      <c r="B103" s="2" t="s">
        <v>517</v>
      </c>
      <c r="C103" s="2" t="s">
        <v>1171</v>
      </c>
      <c r="D103" s="2">
        <v>2</v>
      </c>
      <c r="E103" s="2">
        <v>15000</v>
      </c>
      <c r="F103" s="2">
        <v>48463</v>
      </c>
      <c r="G103" s="12">
        <v>45141</v>
      </c>
      <c r="H103" s="2">
        <v>48463</v>
      </c>
      <c r="I103" t="str">
        <f t="shared" si="1"/>
        <v>Aug</v>
      </c>
    </row>
    <row r="104" spans="1:9" x14ac:dyDescent="0.4">
      <c r="A104" s="2" t="s">
        <v>1278</v>
      </c>
      <c r="B104" s="2" t="s">
        <v>130</v>
      </c>
      <c r="C104" s="2" t="s">
        <v>1180</v>
      </c>
      <c r="D104" s="2"/>
      <c r="E104" s="2">
        <v>10000</v>
      </c>
      <c r="F104" s="2"/>
      <c r="G104" s="12">
        <v>45098</v>
      </c>
      <c r="H104" s="2">
        <v>0</v>
      </c>
      <c r="I104" t="str">
        <f t="shared" si="1"/>
        <v>Jun</v>
      </c>
    </row>
    <row r="105" spans="1:9" x14ac:dyDescent="0.4">
      <c r="A105" s="2" t="s">
        <v>1279</v>
      </c>
      <c r="B105" s="2" t="s">
        <v>905</v>
      </c>
      <c r="C105" s="2" t="s">
        <v>1187</v>
      </c>
      <c r="D105" s="2">
        <v>4</v>
      </c>
      <c r="E105" s="2"/>
      <c r="F105" s="2">
        <v>17924</v>
      </c>
      <c r="G105" s="12">
        <v>45829</v>
      </c>
      <c r="H105" s="2">
        <v>17924</v>
      </c>
      <c r="I105" t="str">
        <f t="shared" si="1"/>
        <v>Jun</v>
      </c>
    </row>
    <row r="106" spans="1:9" x14ac:dyDescent="0.4">
      <c r="A106" s="2" t="s">
        <v>1280</v>
      </c>
      <c r="B106" s="2" t="s">
        <v>891</v>
      </c>
      <c r="C106" s="2" t="s">
        <v>1171</v>
      </c>
      <c r="D106" s="2">
        <v>5</v>
      </c>
      <c r="E106" s="2">
        <v>15000</v>
      </c>
      <c r="F106" s="2"/>
      <c r="G106" s="12">
        <v>45889</v>
      </c>
      <c r="H106" s="2">
        <v>0</v>
      </c>
      <c r="I106" t="str">
        <f t="shared" si="1"/>
        <v>Aug</v>
      </c>
    </row>
    <row r="107" spans="1:9" x14ac:dyDescent="0.4">
      <c r="A107" s="2" t="s">
        <v>1281</v>
      </c>
      <c r="B107" s="2" t="s">
        <v>501</v>
      </c>
      <c r="C107" s="2" t="s">
        <v>1187</v>
      </c>
      <c r="D107" s="2"/>
      <c r="E107" s="2">
        <v>20000</v>
      </c>
      <c r="F107" s="2">
        <v>63429</v>
      </c>
      <c r="G107" s="12">
        <v>44947</v>
      </c>
      <c r="H107" s="2">
        <v>63429</v>
      </c>
      <c r="I107" t="str">
        <f t="shared" si="1"/>
        <v>Jan</v>
      </c>
    </row>
    <row r="108" spans="1:9" x14ac:dyDescent="0.4">
      <c r="A108" s="2" t="s">
        <v>1282</v>
      </c>
      <c r="B108" s="2" t="s">
        <v>46</v>
      </c>
      <c r="C108" s="2" t="s">
        <v>1180</v>
      </c>
      <c r="D108" s="2">
        <v>5</v>
      </c>
      <c r="E108" s="2">
        <v>20000</v>
      </c>
      <c r="F108" s="2">
        <v>56266</v>
      </c>
      <c r="G108" s="12">
        <v>45231</v>
      </c>
      <c r="H108" s="2">
        <v>56266</v>
      </c>
      <c r="I108" t="str">
        <f t="shared" si="1"/>
        <v>Nov</v>
      </c>
    </row>
    <row r="109" spans="1:9" x14ac:dyDescent="0.4">
      <c r="A109" s="2" t="s">
        <v>1283</v>
      </c>
      <c r="B109" s="2" t="s">
        <v>1070</v>
      </c>
      <c r="C109" s="2" t="s">
        <v>1173</v>
      </c>
      <c r="D109" s="2"/>
      <c r="E109" s="2">
        <v>5000</v>
      </c>
      <c r="F109" s="2"/>
      <c r="G109" s="12">
        <v>45047</v>
      </c>
      <c r="H109" s="2">
        <v>0</v>
      </c>
      <c r="I109" t="str">
        <f t="shared" si="1"/>
        <v>May</v>
      </c>
    </row>
    <row r="110" spans="1:9" x14ac:dyDescent="0.4">
      <c r="A110" s="2" t="s">
        <v>1284</v>
      </c>
      <c r="B110" s="2" t="s">
        <v>569</v>
      </c>
      <c r="C110" s="2" t="s">
        <v>1173</v>
      </c>
      <c r="D110" s="2">
        <v>2</v>
      </c>
      <c r="E110" s="2">
        <v>15000</v>
      </c>
      <c r="F110" s="2"/>
      <c r="G110" s="12">
        <v>45886</v>
      </c>
      <c r="H110" s="2">
        <v>0</v>
      </c>
      <c r="I110" t="str">
        <f t="shared" si="1"/>
        <v>Aug</v>
      </c>
    </row>
    <row r="111" spans="1:9" x14ac:dyDescent="0.4">
      <c r="A111" s="2" t="s">
        <v>1285</v>
      </c>
      <c r="B111" s="2" t="s">
        <v>248</v>
      </c>
      <c r="C111" s="2" t="s">
        <v>1180</v>
      </c>
      <c r="D111" s="2">
        <v>4</v>
      </c>
      <c r="E111" s="2">
        <v>15000</v>
      </c>
      <c r="F111" s="2"/>
      <c r="G111" s="12">
        <v>44929</v>
      </c>
      <c r="H111" s="2">
        <v>0</v>
      </c>
      <c r="I111" t="str">
        <f t="shared" si="1"/>
        <v>Jan</v>
      </c>
    </row>
    <row r="112" spans="1:9" x14ac:dyDescent="0.4">
      <c r="A112" s="2" t="s">
        <v>1286</v>
      </c>
      <c r="B112" s="2" t="s">
        <v>1143</v>
      </c>
      <c r="C112" s="2" t="s">
        <v>1187</v>
      </c>
      <c r="D112" s="2">
        <v>4</v>
      </c>
      <c r="E112" s="2">
        <v>15000</v>
      </c>
      <c r="F112" s="2">
        <v>43722</v>
      </c>
      <c r="G112" s="12">
        <v>45156</v>
      </c>
      <c r="H112" s="2">
        <v>43722</v>
      </c>
      <c r="I112" t="str">
        <f t="shared" si="1"/>
        <v>Aug</v>
      </c>
    </row>
    <row r="113" spans="1:9" x14ac:dyDescent="0.4">
      <c r="A113" s="2" t="s">
        <v>1287</v>
      </c>
      <c r="B113" s="2" t="s">
        <v>931</v>
      </c>
      <c r="C113" s="2" t="s">
        <v>1175</v>
      </c>
      <c r="D113" s="2">
        <v>3</v>
      </c>
      <c r="E113" s="2"/>
      <c r="F113" s="2"/>
      <c r="G113" s="12">
        <v>45933</v>
      </c>
      <c r="H113" s="2">
        <v>0</v>
      </c>
      <c r="I113" t="str">
        <f t="shared" si="1"/>
        <v>Oct</v>
      </c>
    </row>
    <row r="114" spans="1:9" x14ac:dyDescent="0.4">
      <c r="A114" s="2" t="s">
        <v>1288</v>
      </c>
      <c r="B114" s="2" t="s">
        <v>546</v>
      </c>
      <c r="C114" s="2" t="s">
        <v>1187</v>
      </c>
      <c r="D114" s="2">
        <v>5</v>
      </c>
      <c r="E114" s="2"/>
      <c r="F114" s="2">
        <v>23569</v>
      </c>
      <c r="G114" s="12">
        <v>45657</v>
      </c>
      <c r="H114" s="2">
        <v>23569</v>
      </c>
      <c r="I114" t="str">
        <f t="shared" si="1"/>
        <v>Dec</v>
      </c>
    </row>
    <row r="115" spans="1:9" x14ac:dyDescent="0.4">
      <c r="A115" s="2" t="s">
        <v>1289</v>
      </c>
      <c r="B115" s="2" t="s">
        <v>409</v>
      </c>
      <c r="C115" s="2" t="s">
        <v>1171</v>
      </c>
      <c r="D115" s="2"/>
      <c r="E115" s="2">
        <v>15000</v>
      </c>
      <c r="F115" s="2">
        <v>45880</v>
      </c>
      <c r="G115" s="12">
        <v>45553</v>
      </c>
      <c r="H115" s="2">
        <v>45880</v>
      </c>
      <c r="I115" t="str">
        <f t="shared" si="1"/>
        <v>Sep</v>
      </c>
    </row>
    <row r="116" spans="1:9" x14ac:dyDescent="0.4">
      <c r="A116" s="2" t="s">
        <v>1290</v>
      </c>
      <c r="B116" s="2" t="s">
        <v>102</v>
      </c>
      <c r="C116" s="2" t="s">
        <v>1187</v>
      </c>
      <c r="D116" s="2"/>
      <c r="E116" s="2">
        <v>10000</v>
      </c>
      <c r="F116" s="2"/>
      <c r="G116" s="12">
        <v>45770</v>
      </c>
      <c r="H116" s="2">
        <v>0</v>
      </c>
      <c r="I116" t="str">
        <f t="shared" si="1"/>
        <v>Apr</v>
      </c>
    </row>
    <row r="117" spans="1:9" x14ac:dyDescent="0.4">
      <c r="A117" s="2" t="s">
        <v>1291</v>
      </c>
      <c r="B117" s="2" t="s">
        <v>183</v>
      </c>
      <c r="C117" s="2" t="s">
        <v>1180</v>
      </c>
      <c r="D117" s="2">
        <v>5</v>
      </c>
      <c r="E117" s="2">
        <v>20000</v>
      </c>
      <c r="F117" s="2">
        <v>73303</v>
      </c>
      <c r="G117" s="12">
        <v>45362</v>
      </c>
      <c r="H117" s="2">
        <v>73303</v>
      </c>
      <c r="I117" t="str">
        <f t="shared" si="1"/>
        <v>Mar</v>
      </c>
    </row>
    <row r="118" spans="1:9" x14ac:dyDescent="0.4">
      <c r="A118" s="2" t="s">
        <v>1292</v>
      </c>
      <c r="B118" s="2" t="s">
        <v>387</v>
      </c>
      <c r="C118" s="2" t="s">
        <v>1182</v>
      </c>
      <c r="D118" s="2">
        <v>5</v>
      </c>
      <c r="E118" s="2"/>
      <c r="F118" s="2">
        <v>50652</v>
      </c>
      <c r="G118" s="12">
        <v>44935</v>
      </c>
      <c r="H118" s="2">
        <v>50652</v>
      </c>
      <c r="I118" t="str">
        <f t="shared" si="1"/>
        <v>Jan</v>
      </c>
    </row>
    <row r="119" spans="1:9" x14ac:dyDescent="0.4">
      <c r="A119" s="2" t="s">
        <v>1293</v>
      </c>
      <c r="B119" s="2" t="s">
        <v>577</v>
      </c>
      <c r="C119" s="2" t="s">
        <v>1175</v>
      </c>
      <c r="D119" s="2">
        <v>1</v>
      </c>
      <c r="E119" s="2">
        <v>20000</v>
      </c>
      <c r="F119" s="2">
        <v>17795</v>
      </c>
      <c r="G119" s="12">
        <v>45729</v>
      </c>
      <c r="H119" s="2">
        <v>17795</v>
      </c>
      <c r="I119" t="str">
        <f t="shared" si="1"/>
        <v>Mar</v>
      </c>
    </row>
    <row r="120" spans="1:9" x14ac:dyDescent="0.4">
      <c r="A120" s="2" t="s">
        <v>1294</v>
      </c>
      <c r="B120" s="2" t="s">
        <v>232</v>
      </c>
      <c r="C120" s="2" t="s">
        <v>1187</v>
      </c>
      <c r="D120" s="2">
        <v>3</v>
      </c>
      <c r="E120" s="2"/>
      <c r="F120" s="2">
        <v>99633</v>
      </c>
      <c r="G120" s="12">
        <v>45224</v>
      </c>
      <c r="H120" s="2">
        <v>99633</v>
      </c>
      <c r="I120" t="str">
        <f t="shared" si="1"/>
        <v>Oct</v>
      </c>
    </row>
    <row r="121" spans="1:9" x14ac:dyDescent="0.4">
      <c r="A121" s="2" t="s">
        <v>1295</v>
      </c>
      <c r="B121" s="2" t="s">
        <v>73</v>
      </c>
      <c r="C121" s="2" t="s">
        <v>1175</v>
      </c>
      <c r="D121" s="2">
        <v>2</v>
      </c>
      <c r="E121" s="2">
        <v>5000</v>
      </c>
      <c r="F121" s="2"/>
      <c r="G121" s="12">
        <v>44964</v>
      </c>
      <c r="H121" s="2">
        <v>0</v>
      </c>
      <c r="I121" t="str">
        <f t="shared" si="1"/>
        <v>Feb</v>
      </c>
    </row>
    <row r="122" spans="1:9" x14ac:dyDescent="0.4">
      <c r="A122" s="2" t="s">
        <v>1296</v>
      </c>
      <c r="B122" s="2" t="s">
        <v>786</v>
      </c>
      <c r="C122" s="2" t="s">
        <v>1175</v>
      </c>
      <c r="D122" s="2">
        <v>5</v>
      </c>
      <c r="E122" s="2">
        <v>15000</v>
      </c>
      <c r="F122" s="2"/>
      <c r="G122" s="12">
        <v>45272</v>
      </c>
      <c r="H122" s="2">
        <v>0</v>
      </c>
      <c r="I122" t="str">
        <f t="shared" si="1"/>
        <v>Dec</v>
      </c>
    </row>
    <row r="123" spans="1:9" x14ac:dyDescent="0.4">
      <c r="A123" s="2" t="s">
        <v>1297</v>
      </c>
      <c r="B123" s="2" t="s">
        <v>765</v>
      </c>
      <c r="C123" s="2" t="s">
        <v>1187</v>
      </c>
      <c r="D123" s="2">
        <v>2</v>
      </c>
      <c r="E123" s="2"/>
      <c r="F123" s="2"/>
      <c r="G123" s="12">
        <v>45269</v>
      </c>
      <c r="H123" s="2">
        <v>0</v>
      </c>
      <c r="I123" t="str">
        <f t="shared" si="1"/>
        <v>Dec</v>
      </c>
    </row>
    <row r="124" spans="1:9" x14ac:dyDescent="0.4">
      <c r="A124" s="2" t="s">
        <v>1298</v>
      </c>
      <c r="B124" s="2" t="s">
        <v>1144</v>
      </c>
      <c r="C124" s="2" t="s">
        <v>1187</v>
      </c>
      <c r="D124" s="2">
        <v>1</v>
      </c>
      <c r="E124" s="2">
        <v>20000</v>
      </c>
      <c r="F124" s="2">
        <v>7960</v>
      </c>
      <c r="G124" s="12">
        <v>44895</v>
      </c>
      <c r="H124" s="2">
        <v>7960</v>
      </c>
      <c r="I124" t="str">
        <f t="shared" si="1"/>
        <v>Nov</v>
      </c>
    </row>
    <row r="125" spans="1:9" x14ac:dyDescent="0.4">
      <c r="A125" s="2" t="s">
        <v>1299</v>
      </c>
      <c r="B125" s="2" t="s">
        <v>809</v>
      </c>
      <c r="C125" s="2" t="s">
        <v>1173</v>
      </c>
      <c r="D125" s="2">
        <v>1</v>
      </c>
      <c r="E125" s="2">
        <v>5000</v>
      </c>
      <c r="F125" s="2"/>
      <c r="G125" s="12">
        <v>45923</v>
      </c>
      <c r="H125" s="2">
        <v>0</v>
      </c>
      <c r="I125" t="str">
        <f t="shared" si="1"/>
        <v>Sep</v>
      </c>
    </row>
    <row r="126" spans="1:9" x14ac:dyDescent="0.4">
      <c r="A126" s="2" t="s">
        <v>1300</v>
      </c>
      <c r="B126" s="2" t="s">
        <v>1105</v>
      </c>
      <c r="C126" s="2" t="s">
        <v>1187</v>
      </c>
      <c r="D126" s="2">
        <v>1</v>
      </c>
      <c r="E126" s="2"/>
      <c r="F126" s="2"/>
      <c r="G126" s="12">
        <v>45418</v>
      </c>
      <c r="H126" s="2">
        <v>0</v>
      </c>
      <c r="I126" t="str">
        <f t="shared" si="1"/>
        <v>May</v>
      </c>
    </row>
    <row r="127" spans="1:9" x14ac:dyDescent="0.4">
      <c r="A127" s="2" t="s">
        <v>1301</v>
      </c>
      <c r="B127" s="2" t="s">
        <v>546</v>
      </c>
      <c r="C127" s="2" t="s">
        <v>1187</v>
      </c>
      <c r="D127" s="2">
        <v>5</v>
      </c>
      <c r="E127" s="2">
        <v>10000</v>
      </c>
      <c r="F127" s="2"/>
      <c r="G127" s="12">
        <v>45709</v>
      </c>
      <c r="H127" s="2">
        <v>0</v>
      </c>
      <c r="I127" t="str">
        <f t="shared" si="1"/>
        <v>Feb</v>
      </c>
    </row>
    <row r="128" spans="1:9" x14ac:dyDescent="0.4">
      <c r="A128" s="2" t="s">
        <v>1302</v>
      </c>
      <c r="B128" s="2" t="s">
        <v>462</v>
      </c>
      <c r="C128" s="2" t="s">
        <v>1173</v>
      </c>
      <c r="D128" s="2">
        <v>5</v>
      </c>
      <c r="E128" s="2">
        <v>15000</v>
      </c>
      <c r="F128" s="2"/>
      <c r="G128" s="12">
        <v>44939</v>
      </c>
      <c r="H128" s="2">
        <v>0</v>
      </c>
      <c r="I128" t="str">
        <f t="shared" si="1"/>
        <v>Jan</v>
      </c>
    </row>
    <row r="129" spans="1:9" x14ac:dyDescent="0.4">
      <c r="A129" s="2" t="s">
        <v>1303</v>
      </c>
      <c r="B129" s="2" t="s">
        <v>532</v>
      </c>
      <c r="C129" s="2" t="s">
        <v>1173</v>
      </c>
      <c r="D129" s="2">
        <v>2</v>
      </c>
      <c r="E129" s="2"/>
      <c r="F129" s="2">
        <v>48383</v>
      </c>
      <c r="G129" s="12">
        <v>45802</v>
      </c>
      <c r="H129" s="2">
        <v>48383</v>
      </c>
      <c r="I129" t="str">
        <f t="shared" si="1"/>
        <v>May</v>
      </c>
    </row>
    <row r="130" spans="1:9" x14ac:dyDescent="0.4">
      <c r="A130" s="2" t="s">
        <v>1304</v>
      </c>
      <c r="B130" s="2" t="s">
        <v>872</v>
      </c>
      <c r="C130" s="2" t="s">
        <v>1182</v>
      </c>
      <c r="D130" s="2">
        <v>2</v>
      </c>
      <c r="E130" s="2">
        <v>5000</v>
      </c>
      <c r="F130" s="2"/>
      <c r="G130" s="12">
        <v>45234</v>
      </c>
      <c r="H130" s="2">
        <v>0</v>
      </c>
      <c r="I130" t="str">
        <f t="shared" si="1"/>
        <v>Nov</v>
      </c>
    </row>
    <row r="131" spans="1:9" x14ac:dyDescent="0.4">
      <c r="A131" s="2" t="s">
        <v>1305</v>
      </c>
      <c r="B131" s="2" t="s">
        <v>865</v>
      </c>
      <c r="C131" s="2" t="s">
        <v>1187</v>
      </c>
      <c r="D131" s="2">
        <v>1</v>
      </c>
      <c r="E131" s="2">
        <v>10000</v>
      </c>
      <c r="F131" s="2"/>
      <c r="G131" s="12">
        <v>45413</v>
      </c>
      <c r="H131" s="2">
        <v>0</v>
      </c>
      <c r="I131" t="str">
        <f t="shared" ref="I131:I194" si="2">TEXT(G131,"mmm")</f>
        <v>May</v>
      </c>
    </row>
    <row r="132" spans="1:9" x14ac:dyDescent="0.4">
      <c r="A132" s="2" t="s">
        <v>1306</v>
      </c>
      <c r="B132" s="2" t="s">
        <v>639</v>
      </c>
      <c r="C132" s="2" t="s">
        <v>1171</v>
      </c>
      <c r="D132" s="2">
        <v>3</v>
      </c>
      <c r="E132" s="2">
        <v>15000</v>
      </c>
      <c r="F132" s="2">
        <v>29430</v>
      </c>
      <c r="G132" s="12">
        <v>45039</v>
      </c>
      <c r="H132" s="2">
        <v>29430</v>
      </c>
      <c r="I132" t="str">
        <f t="shared" si="2"/>
        <v>Apr</v>
      </c>
    </row>
    <row r="133" spans="1:9" x14ac:dyDescent="0.4">
      <c r="A133" s="2" t="s">
        <v>1307</v>
      </c>
      <c r="B133" s="2" t="s">
        <v>603</v>
      </c>
      <c r="C133" s="2" t="s">
        <v>1175</v>
      </c>
      <c r="D133" s="2"/>
      <c r="E133" s="2">
        <v>5000</v>
      </c>
      <c r="F133" s="2"/>
      <c r="G133" s="12">
        <v>44990</v>
      </c>
      <c r="H133" s="2">
        <v>0</v>
      </c>
      <c r="I133" t="str">
        <f t="shared" si="2"/>
        <v>Mar</v>
      </c>
    </row>
    <row r="134" spans="1:9" x14ac:dyDescent="0.4">
      <c r="A134" s="2" t="s">
        <v>1308</v>
      </c>
      <c r="B134" s="2" t="s">
        <v>831</v>
      </c>
      <c r="C134" s="2" t="s">
        <v>1180</v>
      </c>
      <c r="D134" s="2">
        <v>5</v>
      </c>
      <c r="E134" s="2">
        <v>5000</v>
      </c>
      <c r="F134" s="2"/>
      <c r="G134" s="12">
        <v>45657</v>
      </c>
      <c r="H134" s="2">
        <v>0</v>
      </c>
      <c r="I134" t="str">
        <f t="shared" si="2"/>
        <v>Dec</v>
      </c>
    </row>
    <row r="135" spans="1:9" x14ac:dyDescent="0.4">
      <c r="A135" s="2" t="s">
        <v>1309</v>
      </c>
      <c r="B135" s="2" t="s">
        <v>1062</v>
      </c>
      <c r="C135" s="2" t="s">
        <v>1173</v>
      </c>
      <c r="D135" s="2">
        <v>3</v>
      </c>
      <c r="E135" s="2">
        <v>10000</v>
      </c>
      <c r="F135" s="2">
        <v>63926</v>
      </c>
      <c r="G135" s="12">
        <v>45559</v>
      </c>
      <c r="H135" s="2">
        <v>63926</v>
      </c>
      <c r="I135" t="str">
        <f t="shared" si="2"/>
        <v>Sep</v>
      </c>
    </row>
    <row r="136" spans="1:9" x14ac:dyDescent="0.4">
      <c r="A136" s="2" t="s">
        <v>1310</v>
      </c>
      <c r="B136" s="2" t="s">
        <v>941</v>
      </c>
      <c r="C136" s="2" t="s">
        <v>1180</v>
      </c>
      <c r="D136" s="2">
        <v>4</v>
      </c>
      <c r="E136" s="2">
        <v>5000</v>
      </c>
      <c r="F136" s="2"/>
      <c r="G136" s="12">
        <v>45045</v>
      </c>
      <c r="H136" s="2">
        <v>0</v>
      </c>
      <c r="I136" t="str">
        <f t="shared" si="2"/>
        <v>Apr</v>
      </c>
    </row>
    <row r="137" spans="1:9" x14ac:dyDescent="0.4">
      <c r="A137" s="2" t="s">
        <v>1311</v>
      </c>
      <c r="B137" s="2" t="s">
        <v>728</v>
      </c>
      <c r="C137" s="2" t="s">
        <v>1187</v>
      </c>
      <c r="D137" s="2">
        <v>5</v>
      </c>
      <c r="E137" s="2">
        <v>10000</v>
      </c>
      <c r="F137" s="2"/>
      <c r="G137" s="12">
        <v>45663</v>
      </c>
      <c r="H137" s="2">
        <v>0</v>
      </c>
      <c r="I137" t="str">
        <f t="shared" si="2"/>
        <v>Jan</v>
      </c>
    </row>
    <row r="138" spans="1:9" x14ac:dyDescent="0.4">
      <c r="A138" s="2" t="s">
        <v>1312</v>
      </c>
      <c r="B138" s="2" t="s">
        <v>532</v>
      </c>
      <c r="C138" s="2" t="s">
        <v>1171</v>
      </c>
      <c r="D138" s="2">
        <v>5</v>
      </c>
      <c r="E138" s="2"/>
      <c r="F138" s="2">
        <v>31972</v>
      </c>
      <c r="G138" s="12">
        <v>44990</v>
      </c>
      <c r="H138" s="2">
        <v>31972</v>
      </c>
      <c r="I138" t="str">
        <f t="shared" si="2"/>
        <v>Mar</v>
      </c>
    </row>
    <row r="139" spans="1:9" x14ac:dyDescent="0.4">
      <c r="A139" s="2" t="s">
        <v>1313</v>
      </c>
      <c r="B139" s="2" t="s">
        <v>555</v>
      </c>
      <c r="C139" s="2" t="s">
        <v>1175</v>
      </c>
      <c r="D139" s="2">
        <v>2</v>
      </c>
      <c r="E139" s="2">
        <v>10000</v>
      </c>
      <c r="F139" s="2"/>
      <c r="G139" s="12">
        <v>45238</v>
      </c>
      <c r="H139" s="2">
        <v>0</v>
      </c>
      <c r="I139" t="str">
        <f t="shared" si="2"/>
        <v>Nov</v>
      </c>
    </row>
    <row r="140" spans="1:9" x14ac:dyDescent="0.4">
      <c r="A140" s="2" t="s">
        <v>1314</v>
      </c>
      <c r="B140" s="2" t="s">
        <v>856</v>
      </c>
      <c r="C140" s="2" t="s">
        <v>1187</v>
      </c>
      <c r="D140" s="2"/>
      <c r="E140" s="2">
        <v>10000</v>
      </c>
      <c r="F140" s="2"/>
      <c r="G140" s="12">
        <v>45186</v>
      </c>
      <c r="H140" s="2">
        <v>0</v>
      </c>
      <c r="I140" t="str">
        <f t="shared" si="2"/>
        <v>Sep</v>
      </c>
    </row>
    <row r="141" spans="1:9" x14ac:dyDescent="0.4">
      <c r="A141" s="2" t="s">
        <v>1315</v>
      </c>
      <c r="B141" s="2" t="s">
        <v>1101</v>
      </c>
      <c r="C141" s="2" t="s">
        <v>1171</v>
      </c>
      <c r="D141" s="2"/>
      <c r="E141" s="2">
        <v>15000</v>
      </c>
      <c r="F141" s="2"/>
      <c r="G141" s="12">
        <v>45376</v>
      </c>
      <c r="H141" s="2">
        <v>0</v>
      </c>
      <c r="I141" t="str">
        <f t="shared" si="2"/>
        <v>Mar</v>
      </c>
    </row>
    <row r="142" spans="1:9" x14ac:dyDescent="0.4">
      <c r="A142" s="2" t="s">
        <v>1316</v>
      </c>
      <c r="B142" s="2" t="s">
        <v>551</v>
      </c>
      <c r="C142" s="2" t="s">
        <v>1175</v>
      </c>
      <c r="D142" s="2">
        <v>5</v>
      </c>
      <c r="E142" s="2">
        <v>10000</v>
      </c>
      <c r="F142" s="2">
        <v>52945</v>
      </c>
      <c r="G142" s="12">
        <v>45756</v>
      </c>
      <c r="H142" s="2">
        <v>52945</v>
      </c>
      <c r="I142" t="str">
        <f t="shared" si="2"/>
        <v>Apr</v>
      </c>
    </row>
    <row r="143" spans="1:9" x14ac:dyDescent="0.4">
      <c r="A143" s="2" t="s">
        <v>1317</v>
      </c>
      <c r="B143" s="2" t="s">
        <v>266</v>
      </c>
      <c r="C143" s="2" t="s">
        <v>1171</v>
      </c>
      <c r="D143" s="2">
        <v>2</v>
      </c>
      <c r="E143" s="2">
        <v>10000</v>
      </c>
      <c r="F143" s="2">
        <v>30830</v>
      </c>
      <c r="G143" s="12">
        <v>45446</v>
      </c>
      <c r="H143" s="2">
        <v>30830</v>
      </c>
      <c r="I143" t="str">
        <f t="shared" si="2"/>
        <v>Jun</v>
      </c>
    </row>
    <row r="144" spans="1:9" x14ac:dyDescent="0.4">
      <c r="A144" s="2" t="s">
        <v>1318</v>
      </c>
      <c r="B144" s="2" t="s">
        <v>1161</v>
      </c>
      <c r="C144" s="2" t="s">
        <v>1173</v>
      </c>
      <c r="D144" s="2">
        <v>2</v>
      </c>
      <c r="E144" s="2">
        <v>15000</v>
      </c>
      <c r="F144" s="2">
        <v>19936</v>
      </c>
      <c r="G144" s="12">
        <v>45927</v>
      </c>
      <c r="H144" s="2">
        <v>19936</v>
      </c>
      <c r="I144" t="str">
        <f t="shared" si="2"/>
        <v>Sep</v>
      </c>
    </row>
    <row r="145" spans="1:9" x14ac:dyDescent="0.4">
      <c r="A145" s="2" t="s">
        <v>1319</v>
      </c>
      <c r="B145" s="2" t="s">
        <v>1024</v>
      </c>
      <c r="C145" s="2" t="s">
        <v>1187</v>
      </c>
      <c r="D145" s="2">
        <v>2</v>
      </c>
      <c r="E145" s="2"/>
      <c r="F145" s="2">
        <v>92910</v>
      </c>
      <c r="G145" s="12">
        <v>45516</v>
      </c>
      <c r="H145" s="2">
        <v>92910</v>
      </c>
      <c r="I145" t="str">
        <f t="shared" si="2"/>
        <v>Aug</v>
      </c>
    </row>
    <row r="146" spans="1:9" x14ac:dyDescent="0.4">
      <c r="A146" s="2" t="s">
        <v>1320</v>
      </c>
      <c r="B146" s="2" t="s">
        <v>613</v>
      </c>
      <c r="C146" s="2" t="s">
        <v>1171</v>
      </c>
      <c r="D146" s="2">
        <v>2</v>
      </c>
      <c r="E146" s="2">
        <v>15000</v>
      </c>
      <c r="F146" s="2">
        <v>74168</v>
      </c>
      <c r="G146" s="12">
        <v>44980</v>
      </c>
      <c r="H146" s="2">
        <v>74168</v>
      </c>
      <c r="I146" t="str">
        <f t="shared" si="2"/>
        <v>Feb</v>
      </c>
    </row>
    <row r="147" spans="1:9" x14ac:dyDescent="0.4">
      <c r="A147" s="2" t="s">
        <v>1321</v>
      </c>
      <c r="B147" s="2" t="s">
        <v>242</v>
      </c>
      <c r="C147" s="2" t="s">
        <v>1171</v>
      </c>
      <c r="D147" s="2">
        <v>4</v>
      </c>
      <c r="E147" s="2">
        <v>15000</v>
      </c>
      <c r="F147" s="2">
        <v>83246</v>
      </c>
      <c r="G147" s="12">
        <v>45867</v>
      </c>
      <c r="H147" s="2">
        <v>83246</v>
      </c>
      <c r="I147" t="str">
        <f t="shared" si="2"/>
        <v>Jul</v>
      </c>
    </row>
    <row r="148" spans="1:9" x14ac:dyDescent="0.4">
      <c r="A148" s="2" t="s">
        <v>1322</v>
      </c>
      <c r="B148" s="2" t="s">
        <v>876</v>
      </c>
      <c r="C148" s="2" t="s">
        <v>1187</v>
      </c>
      <c r="D148" s="2">
        <v>4</v>
      </c>
      <c r="E148" s="2">
        <v>20000</v>
      </c>
      <c r="F148" s="2">
        <v>85125</v>
      </c>
      <c r="G148" s="12">
        <v>45532</v>
      </c>
      <c r="H148" s="2">
        <v>85125</v>
      </c>
      <c r="I148" t="str">
        <f t="shared" si="2"/>
        <v>Aug</v>
      </c>
    </row>
    <row r="149" spans="1:9" x14ac:dyDescent="0.4">
      <c r="A149" s="2" t="s">
        <v>1323</v>
      </c>
      <c r="B149" s="2" t="s">
        <v>880</v>
      </c>
      <c r="C149" s="2" t="s">
        <v>1175</v>
      </c>
      <c r="D149" s="2">
        <v>5</v>
      </c>
      <c r="E149" s="2"/>
      <c r="F149" s="2"/>
      <c r="G149" s="12">
        <v>45309</v>
      </c>
      <c r="H149" s="2">
        <v>0</v>
      </c>
      <c r="I149" t="str">
        <f t="shared" si="2"/>
        <v>Jan</v>
      </c>
    </row>
    <row r="150" spans="1:9" x14ac:dyDescent="0.4">
      <c r="A150" s="2" t="s">
        <v>1324</v>
      </c>
      <c r="B150" s="2" t="s">
        <v>266</v>
      </c>
      <c r="C150" s="2" t="s">
        <v>1187</v>
      </c>
      <c r="D150" s="2">
        <v>1</v>
      </c>
      <c r="E150" s="2"/>
      <c r="F150" s="2">
        <v>50603</v>
      </c>
      <c r="G150" s="12">
        <v>45092</v>
      </c>
      <c r="H150" s="2">
        <v>50603</v>
      </c>
      <c r="I150" t="str">
        <f t="shared" si="2"/>
        <v>Jun</v>
      </c>
    </row>
    <row r="151" spans="1:9" x14ac:dyDescent="0.4">
      <c r="A151" s="2" t="s">
        <v>1325</v>
      </c>
      <c r="B151" s="2" t="s">
        <v>216</v>
      </c>
      <c r="C151" s="2" t="s">
        <v>1171</v>
      </c>
      <c r="D151" s="2">
        <v>2</v>
      </c>
      <c r="E151" s="2">
        <v>20000</v>
      </c>
      <c r="F151" s="2"/>
      <c r="G151" s="12">
        <v>44908</v>
      </c>
      <c r="H151" s="2">
        <v>0</v>
      </c>
      <c r="I151" t="str">
        <f t="shared" si="2"/>
        <v>Dec</v>
      </c>
    </row>
    <row r="152" spans="1:9" x14ac:dyDescent="0.4">
      <c r="A152" s="2" t="s">
        <v>1326</v>
      </c>
      <c r="B152" s="2" t="s">
        <v>266</v>
      </c>
      <c r="C152" s="2" t="s">
        <v>1180</v>
      </c>
      <c r="D152" s="2">
        <v>2</v>
      </c>
      <c r="E152" s="2">
        <v>10000</v>
      </c>
      <c r="F152" s="2">
        <v>93288</v>
      </c>
      <c r="G152" s="12">
        <v>45377</v>
      </c>
      <c r="H152" s="2">
        <v>93288</v>
      </c>
      <c r="I152" t="str">
        <f t="shared" si="2"/>
        <v>Mar</v>
      </c>
    </row>
    <row r="153" spans="1:9" x14ac:dyDescent="0.4">
      <c r="A153" s="2" t="s">
        <v>1327</v>
      </c>
      <c r="B153" s="2" t="s">
        <v>12</v>
      </c>
      <c r="C153" s="2" t="s">
        <v>1182</v>
      </c>
      <c r="D153" s="2">
        <v>2</v>
      </c>
      <c r="E153" s="2">
        <v>15000</v>
      </c>
      <c r="F153" s="2"/>
      <c r="G153" s="12">
        <v>45812</v>
      </c>
      <c r="H153" s="2">
        <v>0</v>
      </c>
      <c r="I153" t="str">
        <f t="shared" si="2"/>
        <v>Jun</v>
      </c>
    </row>
    <row r="154" spans="1:9" x14ac:dyDescent="0.4">
      <c r="A154" s="2" t="s">
        <v>1328</v>
      </c>
      <c r="B154" s="2" t="s">
        <v>522</v>
      </c>
      <c r="C154" s="2" t="s">
        <v>1180</v>
      </c>
      <c r="D154" s="2">
        <v>5</v>
      </c>
      <c r="E154" s="2">
        <v>5000</v>
      </c>
      <c r="F154" s="2"/>
      <c r="G154" s="12">
        <v>45429</v>
      </c>
      <c r="H154" s="2">
        <v>0</v>
      </c>
      <c r="I154" t="str">
        <f t="shared" si="2"/>
        <v>May</v>
      </c>
    </row>
    <row r="155" spans="1:9" x14ac:dyDescent="0.4">
      <c r="A155" s="2" t="s">
        <v>1329</v>
      </c>
      <c r="B155" s="2" t="s">
        <v>532</v>
      </c>
      <c r="C155" s="2" t="s">
        <v>1175</v>
      </c>
      <c r="D155" s="2">
        <v>5</v>
      </c>
      <c r="E155" s="2">
        <v>15000</v>
      </c>
      <c r="F155" s="2"/>
      <c r="G155" s="12">
        <v>45390</v>
      </c>
      <c r="H155" s="2">
        <v>0</v>
      </c>
      <c r="I155" t="str">
        <f t="shared" si="2"/>
        <v>Apr</v>
      </c>
    </row>
    <row r="156" spans="1:9" x14ac:dyDescent="0.4">
      <c r="A156" s="2" t="s">
        <v>1330</v>
      </c>
      <c r="B156" s="2" t="s">
        <v>872</v>
      </c>
      <c r="C156" s="2" t="s">
        <v>1171</v>
      </c>
      <c r="D156" s="2">
        <v>3</v>
      </c>
      <c r="E156" s="2">
        <v>5000</v>
      </c>
      <c r="F156" s="2">
        <v>36270</v>
      </c>
      <c r="G156" s="12">
        <v>45504</v>
      </c>
      <c r="H156" s="2">
        <v>36270</v>
      </c>
      <c r="I156" t="str">
        <f t="shared" si="2"/>
        <v>Jul</v>
      </c>
    </row>
    <row r="157" spans="1:9" x14ac:dyDescent="0.4">
      <c r="A157" s="2" t="s">
        <v>1331</v>
      </c>
      <c r="B157" s="2" t="s">
        <v>919</v>
      </c>
      <c r="C157" s="2" t="s">
        <v>1182</v>
      </c>
      <c r="D157" s="2">
        <v>1</v>
      </c>
      <c r="E157" s="2">
        <v>20000</v>
      </c>
      <c r="F157" s="2"/>
      <c r="G157" s="12">
        <v>45882</v>
      </c>
      <c r="H157" s="2">
        <v>0</v>
      </c>
      <c r="I157" t="str">
        <f t="shared" si="2"/>
        <v>Aug</v>
      </c>
    </row>
    <row r="158" spans="1:9" x14ac:dyDescent="0.4">
      <c r="A158" s="2" t="s">
        <v>1332</v>
      </c>
      <c r="B158" s="2" t="s">
        <v>308</v>
      </c>
      <c r="C158" s="2" t="s">
        <v>1175</v>
      </c>
      <c r="D158" s="2">
        <v>5</v>
      </c>
      <c r="E158" s="2"/>
      <c r="F158" s="2"/>
      <c r="G158" s="12">
        <v>45452</v>
      </c>
      <c r="H158" s="2">
        <v>0</v>
      </c>
      <c r="I158" t="str">
        <f t="shared" si="2"/>
        <v>Jun</v>
      </c>
    </row>
    <row r="159" spans="1:9" x14ac:dyDescent="0.4">
      <c r="A159" s="2" t="s">
        <v>1333</v>
      </c>
      <c r="B159" s="2" t="s">
        <v>143</v>
      </c>
      <c r="C159" s="2" t="s">
        <v>1180</v>
      </c>
      <c r="D159" s="2">
        <v>1</v>
      </c>
      <c r="E159" s="2"/>
      <c r="F159" s="2">
        <v>71954</v>
      </c>
      <c r="G159" s="12">
        <v>45601</v>
      </c>
      <c r="H159" s="2">
        <v>71954</v>
      </c>
      <c r="I159" t="str">
        <f t="shared" si="2"/>
        <v>Nov</v>
      </c>
    </row>
    <row r="160" spans="1:9" x14ac:dyDescent="0.4">
      <c r="A160" s="2" t="s">
        <v>1334</v>
      </c>
      <c r="B160" s="2" t="s">
        <v>955</v>
      </c>
      <c r="C160" s="2" t="s">
        <v>1173</v>
      </c>
      <c r="D160" s="2">
        <v>1</v>
      </c>
      <c r="E160" s="2">
        <v>15000</v>
      </c>
      <c r="F160" s="2"/>
      <c r="G160" s="12">
        <v>45326</v>
      </c>
      <c r="H160" s="2">
        <v>0</v>
      </c>
      <c r="I160" t="str">
        <f t="shared" si="2"/>
        <v>Feb</v>
      </c>
    </row>
    <row r="161" spans="1:9" x14ac:dyDescent="0.4">
      <c r="A161" s="2" t="s">
        <v>1335</v>
      </c>
      <c r="B161" s="2" t="s">
        <v>583</v>
      </c>
      <c r="C161" s="2" t="s">
        <v>1187</v>
      </c>
      <c r="D161" s="2">
        <v>1</v>
      </c>
      <c r="E161" s="2"/>
      <c r="F161" s="2">
        <v>80340</v>
      </c>
      <c r="G161" s="12">
        <v>45836</v>
      </c>
      <c r="H161" s="2">
        <v>80340</v>
      </c>
      <c r="I161" t="str">
        <f t="shared" si="2"/>
        <v>Jun</v>
      </c>
    </row>
    <row r="162" spans="1:9" x14ac:dyDescent="0.4">
      <c r="A162" s="2" t="s">
        <v>1336</v>
      </c>
      <c r="B162" s="2" t="s">
        <v>1016</v>
      </c>
      <c r="C162" s="2" t="s">
        <v>1175</v>
      </c>
      <c r="D162" s="2">
        <v>5</v>
      </c>
      <c r="E162" s="2"/>
      <c r="F162" s="2"/>
      <c r="G162" s="12">
        <v>44918</v>
      </c>
      <c r="H162" s="2">
        <v>0</v>
      </c>
      <c r="I162" t="str">
        <f t="shared" si="2"/>
        <v>Dec</v>
      </c>
    </row>
    <row r="163" spans="1:9" x14ac:dyDescent="0.4">
      <c r="A163" s="2" t="s">
        <v>1337</v>
      </c>
      <c r="B163" s="2" t="s">
        <v>488</v>
      </c>
      <c r="C163" s="2" t="s">
        <v>1175</v>
      </c>
      <c r="D163" s="2">
        <v>2</v>
      </c>
      <c r="E163" s="2">
        <v>15000</v>
      </c>
      <c r="F163" s="2"/>
      <c r="G163" s="12">
        <v>45119</v>
      </c>
      <c r="H163" s="2">
        <v>0</v>
      </c>
      <c r="I163" t="str">
        <f t="shared" si="2"/>
        <v>Jul</v>
      </c>
    </row>
    <row r="164" spans="1:9" x14ac:dyDescent="0.4">
      <c r="A164" s="2" t="s">
        <v>1338</v>
      </c>
      <c r="B164" s="2" t="s">
        <v>445</v>
      </c>
      <c r="C164" s="2" t="s">
        <v>1171</v>
      </c>
      <c r="D164" s="2">
        <v>2</v>
      </c>
      <c r="E164" s="2">
        <v>15000</v>
      </c>
      <c r="F164" s="2"/>
      <c r="G164" s="12">
        <v>45442</v>
      </c>
      <c r="H164" s="2">
        <v>0</v>
      </c>
      <c r="I164" t="str">
        <f t="shared" si="2"/>
        <v>May</v>
      </c>
    </row>
    <row r="165" spans="1:9" x14ac:dyDescent="0.4">
      <c r="A165" s="2" t="s">
        <v>1339</v>
      </c>
      <c r="B165" s="2" t="s">
        <v>295</v>
      </c>
      <c r="C165" s="2" t="s">
        <v>1182</v>
      </c>
      <c r="D165" s="2">
        <v>2</v>
      </c>
      <c r="E165" s="2">
        <v>15000</v>
      </c>
      <c r="F165" s="2">
        <v>69178</v>
      </c>
      <c r="G165" s="12">
        <v>44939</v>
      </c>
      <c r="H165" s="2">
        <v>69178</v>
      </c>
      <c r="I165" t="str">
        <f t="shared" si="2"/>
        <v>Jan</v>
      </c>
    </row>
    <row r="166" spans="1:9" x14ac:dyDescent="0.4">
      <c r="A166" s="2" t="s">
        <v>1340</v>
      </c>
      <c r="B166" s="2" t="s">
        <v>914</v>
      </c>
      <c r="C166" s="2" t="s">
        <v>1180</v>
      </c>
      <c r="D166" s="2">
        <v>2</v>
      </c>
      <c r="E166" s="2">
        <v>15000</v>
      </c>
      <c r="F166" s="2"/>
      <c r="G166" s="12">
        <v>45321</v>
      </c>
      <c r="H166" s="2">
        <v>0</v>
      </c>
      <c r="I166" t="str">
        <f t="shared" si="2"/>
        <v>Jan</v>
      </c>
    </row>
    <row r="167" spans="1:9" x14ac:dyDescent="0.4">
      <c r="A167" s="2" t="s">
        <v>1341</v>
      </c>
      <c r="B167" s="2" t="s">
        <v>669</v>
      </c>
      <c r="C167" s="2" t="s">
        <v>1175</v>
      </c>
      <c r="D167" s="2">
        <v>1</v>
      </c>
      <c r="E167" s="2">
        <v>20000</v>
      </c>
      <c r="F167" s="2">
        <v>46232</v>
      </c>
      <c r="G167" s="12">
        <v>45103</v>
      </c>
      <c r="H167" s="2">
        <v>46232</v>
      </c>
      <c r="I167" t="str">
        <f t="shared" si="2"/>
        <v>Jun</v>
      </c>
    </row>
    <row r="168" spans="1:9" x14ac:dyDescent="0.4">
      <c r="A168" s="2" t="s">
        <v>1342</v>
      </c>
      <c r="B168" s="2" t="s">
        <v>635</v>
      </c>
      <c r="C168" s="2" t="s">
        <v>1187</v>
      </c>
      <c r="D168" s="2">
        <v>3</v>
      </c>
      <c r="E168" s="2"/>
      <c r="F168" s="2"/>
      <c r="G168" s="12">
        <v>45788</v>
      </c>
      <c r="H168" s="2">
        <v>0</v>
      </c>
      <c r="I168" t="str">
        <f t="shared" si="2"/>
        <v>May</v>
      </c>
    </row>
    <row r="169" spans="1:9" x14ac:dyDescent="0.4">
      <c r="A169" s="2" t="s">
        <v>1343</v>
      </c>
      <c r="B169" s="2" t="s">
        <v>482</v>
      </c>
      <c r="C169" s="2" t="s">
        <v>1175</v>
      </c>
      <c r="D169" s="2"/>
      <c r="E169" s="2"/>
      <c r="F169" s="2"/>
      <c r="G169" s="12">
        <v>44909</v>
      </c>
      <c r="H169" s="2">
        <v>0</v>
      </c>
      <c r="I169" t="str">
        <f t="shared" si="2"/>
        <v>Dec</v>
      </c>
    </row>
    <row r="170" spans="1:9" x14ac:dyDescent="0.4">
      <c r="A170" s="2" t="s">
        <v>1344</v>
      </c>
      <c r="B170" s="2" t="s">
        <v>740</v>
      </c>
      <c r="C170" s="2" t="s">
        <v>1175</v>
      </c>
      <c r="D170" s="2">
        <v>5</v>
      </c>
      <c r="E170" s="2">
        <v>20000</v>
      </c>
      <c r="F170" s="2"/>
      <c r="G170" s="12">
        <v>45035</v>
      </c>
      <c r="H170" s="2">
        <v>0</v>
      </c>
      <c r="I170" t="str">
        <f t="shared" si="2"/>
        <v>Apr</v>
      </c>
    </row>
    <row r="171" spans="1:9" x14ac:dyDescent="0.4">
      <c r="A171" s="2" t="s">
        <v>1345</v>
      </c>
      <c r="B171" s="2" t="s">
        <v>342</v>
      </c>
      <c r="C171" s="2" t="s">
        <v>1171</v>
      </c>
      <c r="D171" s="2"/>
      <c r="E171" s="2">
        <v>15000</v>
      </c>
      <c r="F171" s="2">
        <v>30575</v>
      </c>
      <c r="G171" s="12">
        <v>45816</v>
      </c>
      <c r="H171" s="2">
        <v>30575</v>
      </c>
      <c r="I171" t="str">
        <f t="shared" si="2"/>
        <v>Jun</v>
      </c>
    </row>
    <row r="172" spans="1:9" x14ac:dyDescent="0.4">
      <c r="A172" s="2" t="s">
        <v>1346</v>
      </c>
      <c r="B172" s="2" t="s">
        <v>483</v>
      </c>
      <c r="C172" s="2" t="s">
        <v>1175</v>
      </c>
      <c r="D172" s="2">
        <v>5</v>
      </c>
      <c r="E172" s="2">
        <v>10000</v>
      </c>
      <c r="F172" s="2">
        <v>78607</v>
      </c>
      <c r="G172" s="12">
        <v>45198</v>
      </c>
      <c r="H172" s="2">
        <v>78607</v>
      </c>
      <c r="I172" t="str">
        <f t="shared" si="2"/>
        <v>Sep</v>
      </c>
    </row>
    <row r="173" spans="1:9" x14ac:dyDescent="0.4">
      <c r="A173" s="2" t="s">
        <v>1347</v>
      </c>
      <c r="B173" s="2" t="s">
        <v>299</v>
      </c>
      <c r="C173" s="2" t="s">
        <v>1182</v>
      </c>
      <c r="D173" s="2">
        <v>2</v>
      </c>
      <c r="E173" s="2">
        <v>10000</v>
      </c>
      <c r="F173" s="2">
        <v>58626</v>
      </c>
      <c r="G173" s="12">
        <v>45356</v>
      </c>
      <c r="H173" s="2">
        <v>58626</v>
      </c>
      <c r="I173" t="str">
        <f t="shared" si="2"/>
        <v>Mar</v>
      </c>
    </row>
    <row r="174" spans="1:9" x14ac:dyDescent="0.4">
      <c r="A174" s="2" t="s">
        <v>1348</v>
      </c>
      <c r="B174" s="2" t="s">
        <v>450</v>
      </c>
      <c r="C174" s="2" t="s">
        <v>1171</v>
      </c>
      <c r="D174" s="2">
        <v>3</v>
      </c>
      <c r="E174" s="2">
        <v>10000</v>
      </c>
      <c r="F174" s="2">
        <v>59477</v>
      </c>
      <c r="G174" s="12">
        <v>45663</v>
      </c>
      <c r="H174" s="2">
        <v>59477</v>
      </c>
      <c r="I174" t="str">
        <f t="shared" si="2"/>
        <v>Jan</v>
      </c>
    </row>
    <row r="175" spans="1:9" x14ac:dyDescent="0.4">
      <c r="A175" s="2" t="s">
        <v>1349</v>
      </c>
      <c r="B175" s="2" t="s">
        <v>748</v>
      </c>
      <c r="C175" s="2" t="s">
        <v>1173</v>
      </c>
      <c r="D175" s="2">
        <v>5</v>
      </c>
      <c r="E175" s="2">
        <v>15000</v>
      </c>
      <c r="F175" s="2"/>
      <c r="G175" s="12">
        <v>45659</v>
      </c>
      <c r="H175" s="2">
        <v>0</v>
      </c>
      <c r="I175" t="str">
        <f t="shared" si="2"/>
        <v>Jan</v>
      </c>
    </row>
    <row r="176" spans="1:9" x14ac:dyDescent="0.4">
      <c r="A176" s="2" t="s">
        <v>1350</v>
      </c>
      <c r="B176" s="2" t="s">
        <v>1075</v>
      </c>
      <c r="C176" s="2" t="s">
        <v>1173</v>
      </c>
      <c r="D176" s="2">
        <v>2</v>
      </c>
      <c r="E176" s="2">
        <v>15000</v>
      </c>
      <c r="F176" s="2"/>
      <c r="G176" s="12">
        <v>45773</v>
      </c>
      <c r="H176" s="2">
        <v>0</v>
      </c>
      <c r="I176" t="str">
        <f t="shared" si="2"/>
        <v>Apr</v>
      </c>
    </row>
    <row r="177" spans="1:9" x14ac:dyDescent="0.4">
      <c r="A177" s="2" t="s">
        <v>1351</v>
      </c>
      <c r="B177" s="2" t="s">
        <v>810</v>
      </c>
      <c r="C177" s="2" t="s">
        <v>1180</v>
      </c>
      <c r="D177" s="2">
        <v>1</v>
      </c>
      <c r="E177" s="2">
        <v>20000</v>
      </c>
      <c r="F177" s="2">
        <v>33905</v>
      </c>
      <c r="G177" s="12">
        <v>45404</v>
      </c>
      <c r="H177" s="2">
        <v>33905</v>
      </c>
      <c r="I177" t="str">
        <f t="shared" si="2"/>
        <v>Apr</v>
      </c>
    </row>
    <row r="178" spans="1:9" x14ac:dyDescent="0.4">
      <c r="A178" s="2" t="s">
        <v>1352</v>
      </c>
      <c r="B178" s="2" t="s">
        <v>919</v>
      </c>
      <c r="C178" s="2" t="s">
        <v>1180</v>
      </c>
      <c r="D178" s="2">
        <v>2</v>
      </c>
      <c r="E178" s="2"/>
      <c r="F178" s="2">
        <v>9285</v>
      </c>
      <c r="G178" s="12">
        <v>45203</v>
      </c>
      <c r="H178" s="2">
        <v>9285</v>
      </c>
      <c r="I178" t="str">
        <f t="shared" si="2"/>
        <v>Oct</v>
      </c>
    </row>
    <row r="179" spans="1:9" x14ac:dyDescent="0.4">
      <c r="A179" s="2" t="s">
        <v>1353</v>
      </c>
      <c r="B179" s="2" t="s">
        <v>801</v>
      </c>
      <c r="C179" s="2" t="s">
        <v>1180</v>
      </c>
      <c r="D179" s="2"/>
      <c r="E179" s="2">
        <v>20000</v>
      </c>
      <c r="F179" s="2">
        <v>34470</v>
      </c>
      <c r="G179" s="12">
        <v>45458</v>
      </c>
      <c r="H179" s="2">
        <v>34470</v>
      </c>
      <c r="I179" t="str">
        <f t="shared" si="2"/>
        <v>Jun</v>
      </c>
    </row>
    <row r="180" spans="1:9" x14ac:dyDescent="0.4">
      <c r="A180" s="2" t="s">
        <v>1354</v>
      </c>
      <c r="B180" s="2" t="s">
        <v>740</v>
      </c>
      <c r="C180" s="2" t="s">
        <v>1171</v>
      </c>
      <c r="D180" s="2">
        <v>4</v>
      </c>
      <c r="E180" s="2">
        <v>20000</v>
      </c>
      <c r="F180" s="2">
        <v>27047</v>
      </c>
      <c r="G180" s="12">
        <v>45775</v>
      </c>
      <c r="H180" s="2">
        <v>27047</v>
      </c>
      <c r="I180" t="str">
        <f t="shared" si="2"/>
        <v>Apr</v>
      </c>
    </row>
    <row r="181" spans="1:9" x14ac:dyDescent="0.4">
      <c r="A181" s="2" t="s">
        <v>1355</v>
      </c>
      <c r="B181" s="2" t="s">
        <v>351</v>
      </c>
      <c r="C181" s="2" t="s">
        <v>1182</v>
      </c>
      <c r="D181" s="2">
        <v>4</v>
      </c>
      <c r="E181" s="2">
        <v>15000</v>
      </c>
      <c r="F181" s="2">
        <v>79140</v>
      </c>
      <c r="G181" s="12">
        <v>44920</v>
      </c>
      <c r="H181" s="2">
        <v>79140</v>
      </c>
      <c r="I181" t="str">
        <f t="shared" si="2"/>
        <v>Dec</v>
      </c>
    </row>
    <row r="182" spans="1:9" x14ac:dyDescent="0.4">
      <c r="A182" s="2" t="s">
        <v>1356</v>
      </c>
      <c r="B182" s="2" t="s">
        <v>355</v>
      </c>
      <c r="C182" s="2" t="s">
        <v>1171</v>
      </c>
      <c r="D182" s="2">
        <v>3</v>
      </c>
      <c r="E182" s="2">
        <v>10000</v>
      </c>
      <c r="F182" s="2"/>
      <c r="G182" s="12">
        <v>45890</v>
      </c>
      <c r="H182" s="2">
        <v>0</v>
      </c>
      <c r="I182" t="str">
        <f t="shared" si="2"/>
        <v>Aug</v>
      </c>
    </row>
    <row r="183" spans="1:9" x14ac:dyDescent="0.4">
      <c r="A183" s="2" t="s">
        <v>1357</v>
      </c>
      <c r="B183" s="2" t="s">
        <v>1146</v>
      </c>
      <c r="C183" s="2" t="s">
        <v>1171</v>
      </c>
      <c r="D183" s="2">
        <v>1</v>
      </c>
      <c r="E183" s="2">
        <v>5000</v>
      </c>
      <c r="F183" s="2"/>
      <c r="G183" s="12">
        <v>45103</v>
      </c>
      <c r="H183" s="2">
        <v>0</v>
      </c>
      <c r="I183" t="str">
        <f t="shared" si="2"/>
        <v>Jun</v>
      </c>
    </row>
    <row r="184" spans="1:9" x14ac:dyDescent="0.4">
      <c r="A184" s="2" t="s">
        <v>1358</v>
      </c>
      <c r="B184" s="2" t="s">
        <v>781</v>
      </c>
      <c r="C184" s="2" t="s">
        <v>1171</v>
      </c>
      <c r="D184" s="2">
        <v>5</v>
      </c>
      <c r="E184" s="2"/>
      <c r="F184" s="2">
        <v>40112</v>
      </c>
      <c r="G184" s="12">
        <v>45462</v>
      </c>
      <c r="H184" s="2">
        <v>40112</v>
      </c>
      <c r="I184" t="str">
        <f t="shared" si="2"/>
        <v>Jun</v>
      </c>
    </row>
    <row r="185" spans="1:9" x14ac:dyDescent="0.4">
      <c r="A185" s="2" t="s">
        <v>1359</v>
      </c>
      <c r="B185" s="2" t="s">
        <v>1105</v>
      </c>
      <c r="C185" s="2" t="s">
        <v>1171</v>
      </c>
      <c r="D185" s="2"/>
      <c r="E185" s="2">
        <v>15000</v>
      </c>
      <c r="F185" s="2"/>
      <c r="G185" s="12">
        <v>45878</v>
      </c>
      <c r="H185" s="2">
        <v>0</v>
      </c>
      <c r="I185" t="str">
        <f t="shared" si="2"/>
        <v>Aug</v>
      </c>
    </row>
    <row r="186" spans="1:9" x14ac:dyDescent="0.4">
      <c r="A186" s="2" t="s">
        <v>1360</v>
      </c>
      <c r="B186" s="2" t="s">
        <v>361</v>
      </c>
      <c r="C186" s="2" t="s">
        <v>1175</v>
      </c>
      <c r="D186" s="2">
        <v>1</v>
      </c>
      <c r="E186" s="2">
        <v>10000</v>
      </c>
      <c r="F186" s="2">
        <v>99238</v>
      </c>
      <c r="G186" s="12">
        <v>44991</v>
      </c>
      <c r="H186" s="2">
        <v>99238</v>
      </c>
      <c r="I186" t="str">
        <f t="shared" si="2"/>
        <v>Mar</v>
      </c>
    </row>
    <row r="187" spans="1:9" x14ac:dyDescent="0.4">
      <c r="A187" s="2" t="s">
        <v>1361</v>
      </c>
      <c r="B187" s="2" t="s">
        <v>951</v>
      </c>
      <c r="C187" s="2" t="s">
        <v>1180</v>
      </c>
      <c r="D187" s="2"/>
      <c r="E187" s="2">
        <v>5000</v>
      </c>
      <c r="F187" s="2"/>
      <c r="G187" s="12">
        <v>44990</v>
      </c>
      <c r="H187" s="2">
        <v>0</v>
      </c>
      <c r="I187" t="str">
        <f t="shared" si="2"/>
        <v>Mar</v>
      </c>
    </row>
    <row r="188" spans="1:9" x14ac:dyDescent="0.4">
      <c r="A188" s="2" t="s">
        <v>1362</v>
      </c>
      <c r="B188" s="2" t="s">
        <v>677</v>
      </c>
      <c r="C188" s="2" t="s">
        <v>1180</v>
      </c>
      <c r="D188" s="2">
        <v>3</v>
      </c>
      <c r="E188" s="2">
        <v>5000</v>
      </c>
      <c r="F188" s="2"/>
      <c r="G188" s="12">
        <v>45218</v>
      </c>
      <c r="H188" s="2">
        <v>0</v>
      </c>
      <c r="I188" t="str">
        <f t="shared" si="2"/>
        <v>Oct</v>
      </c>
    </row>
    <row r="189" spans="1:9" x14ac:dyDescent="0.4">
      <c r="A189" s="2" t="s">
        <v>1363</v>
      </c>
      <c r="B189" s="2" t="s">
        <v>607</v>
      </c>
      <c r="C189" s="2" t="s">
        <v>1187</v>
      </c>
      <c r="D189" s="2">
        <v>3</v>
      </c>
      <c r="E189" s="2">
        <v>15000</v>
      </c>
      <c r="F189" s="2"/>
      <c r="G189" s="12">
        <v>45748</v>
      </c>
      <c r="H189" s="2">
        <v>0</v>
      </c>
      <c r="I189" t="str">
        <f t="shared" si="2"/>
        <v>Apr</v>
      </c>
    </row>
    <row r="190" spans="1:9" x14ac:dyDescent="0.4">
      <c r="A190" s="2" t="s">
        <v>1364</v>
      </c>
      <c r="B190" s="2" t="s">
        <v>342</v>
      </c>
      <c r="C190" s="2" t="s">
        <v>1173</v>
      </c>
      <c r="D190" s="2">
        <v>5</v>
      </c>
      <c r="E190" s="2">
        <v>15000</v>
      </c>
      <c r="F190" s="2"/>
      <c r="G190" s="12">
        <v>45652</v>
      </c>
      <c r="H190" s="2">
        <v>0</v>
      </c>
      <c r="I190" t="str">
        <f t="shared" si="2"/>
        <v>Dec</v>
      </c>
    </row>
    <row r="191" spans="1:9" x14ac:dyDescent="0.4">
      <c r="A191" s="2" t="s">
        <v>1365</v>
      </c>
      <c r="B191" s="2" t="s">
        <v>801</v>
      </c>
      <c r="C191" s="2" t="s">
        <v>1180</v>
      </c>
      <c r="D191" s="2">
        <v>4</v>
      </c>
      <c r="E191" s="2"/>
      <c r="F191" s="2">
        <v>63947</v>
      </c>
      <c r="G191" s="12">
        <v>45762</v>
      </c>
      <c r="H191" s="2">
        <v>63947</v>
      </c>
      <c r="I191" t="str">
        <f t="shared" si="2"/>
        <v>Apr</v>
      </c>
    </row>
    <row r="192" spans="1:9" x14ac:dyDescent="0.4">
      <c r="A192" s="2" t="s">
        <v>1366</v>
      </c>
      <c r="B192" s="2" t="s">
        <v>12</v>
      </c>
      <c r="C192" s="2" t="s">
        <v>1182</v>
      </c>
      <c r="D192" s="2">
        <v>1</v>
      </c>
      <c r="E192" s="2">
        <v>5000</v>
      </c>
      <c r="F192" s="2"/>
      <c r="G192" s="12">
        <v>45849</v>
      </c>
      <c r="H192" s="2">
        <v>0</v>
      </c>
      <c r="I192" t="str">
        <f t="shared" si="2"/>
        <v>Jul</v>
      </c>
    </row>
    <row r="193" spans="1:9" x14ac:dyDescent="0.4">
      <c r="A193" s="2" t="s">
        <v>1367</v>
      </c>
      <c r="B193" s="2" t="s">
        <v>697</v>
      </c>
      <c r="C193" s="2" t="s">
        <v>1175</v>
      </c>
      <c r="D193" s="2">
        <v>5</v>
      </c>
      <c r="E193" s="2">
        <v>15000</v>
      </c>
      <c r="F193" s="2"/>
      <c r="G193" s="12">
        <v>45721</v>
      </c>
      <c r="H193" s="2">
        <v>0</v>
      </c>
      <c r="I193" t="str">
        <f t="shared" si="2"/>
        <v>Mar</v>
      </c>
    </row>
    <row r="194" spans="1:9" x14ac:dyDescent="0.4">
      <c r="A194" s="2" t="s">
        <v>1368</v>
      </c>
      <c r="B194" s="2" t="s">
        <v>593</v>
      </c>
      <c r="C194" s="2" t="s">
        <v>1173</v>
      </c>
      <c r="D194" s="2">
        <v>4</v>
      </c>
      <c r="E194" s="2">
        <v>15000</v>
      </c>
      <c r="F194" s="2"/>
      <c r="G194" s="12">
        <v>45519</v>
      </c>
      <c r="H194" s="2">
        <v>0</v>
      </c>
      <c r="I194" t="str">
        <f t="shared" si="2"/>
        <v>Aug</v>
      </c>
    </row>
    <row r="195" spans="1:9" x14ac:dyDescent="0.4">
      <c r="A195" s="2" t="s">
        <v>1369</v>
      </c>
      <c r="B195" s="2" t="s">
        <v>1053</v>
      </c>
      <c r="C195" s="2" t="s">
        <v>1187</v>
      </c>
      <c r="D195" s="2">
        <v>1</v>
      </c>
      <c r="E195" s="2">
        <v>10000</v>
      </c>
      <c r="F195" s="2">
        <v>82060</v>
      </c>
      <c r="G195" s="12">
        <v>45707</v>
      </c>
      <c r="H195" s="2">
        <v>82060</v>
      </c>
      <c r="I195" t="str">
        <f t="shared" ref="I195:I258" si="3">TEXT(G195,"mmm")</f>
        <v>Feb</v>
      </c>
    </row>
    <row r="196" spans="1:9" x14ac:dyDescent="0.4">
      <c r="A196" s="2" t="s">
        <v>1370</v>
      </c>
      <c r="B196" s="2" t="s">
        <v>103</v>
      </c>
      <c r="C196" s="2" t="s">
        <v>1171</v>
      </c>
      <c r="D196" s="2">
        <v>4</v>
      </c>
      <c r="E196" s="2">
        <v>15000</v>
      </c>
      <c r="F196" s="2">
        <v>98159</v>
      </c>
      <c r="G196" s="12">
        <v>45058</v>
      </c>
      <c r="H196" s="2">
        <v>98159</v>
      </c>
      <c r="I196" t="str">
        <f t="shared" si="3"/>
        <v>May</v>
      </c>
    </row>
    <row r="197" spans="1:9" x14ac:dyDescent="0.4">
      <c r="A197" s="2" t="s">
        <v>1371</v>
      </c>
      <c r="B197" s="2" t="s">
        <v>387</v>
      </c>
      <c r="C197" s="2" t="s">
        <v>1187</v>
      </c>
      <c r="D197" s="2">
        <v>5</v>
      </c>
      <c r="E197" s="2"/>
      <c r="F197" s="2"/>
      <c r="G197" s="12">
        <v>45689</v>
      </c>
      <c r="H197" s="2">
        <v>0</v>
      </c>
      <c r="I197" t="str">
        <f t="shared" si="3"/>
        <v>Feb</v>
      </c>
    </row>
    <row r="198" spans="1:9" x14ac:dyDescent="0.4">
      <c r="A198" s="2" t="s">
        <v>1372</v>
      </c>
      <c r="B198" s="2" t="s">
        <v>36</v>
      </c>
      <c r="C198" s="2" t="s">
        <v>1173</v>
      </c>
      <c r="D198" s="2">
        <v>2</v>
      </c>
      <c r="E198" s="2">
        <v>20000</v>
      </c>
      <c r="F198" s="2"/>
      <c r="G198" s="12">
        <v>44949</v>
      </c>
      <c r="H198" s="2">
        <v>0</v>
      </c>
      <c r="I198" t="str">
        <f t="shared" si="3"/>
        <v>Jan</v>
      </c>
    </row>
    <row r="199" spans="1:9" x14ac:dyDescent="0.4">
      <c r="A199" s="2" t="s">
        <v>1373</v>
      </c>
      <c r="B199" s="2" t="s">
        <v>551</v>
      </c>
      <c r="C199" s="2" t="s">
        <v>1180</v>
      </c>
      <c r="D199" s="2">
        <v>2</v>
      </c>
      <c r="E199" s="2">
        <v>10000</v>
      </c>
      <c r="F199" s="2">
        <v>12780</v>
      </c>
      <c r="G199" s="12">
        <v>45813</v>
      </c>
      <c r="H199" s="2">
        <v>12780</v>
      </c>
      <c r="I199" t="str">
        <f t="shared" si="3"/>
        <v>Jun</v>
      </c>
    </row>
    <row r="200" spans="1:9" x14ac:dyDescent="0.4">
      <c r="A200" s="2" t="s">
        <v>1374</v>
      </c>
      <c r="B200" s="2" t="s">
        <v>249</v>
      </c>
      <c r="C200" s="2" t="s">
        <v>1173</v>
      </c>
      <c r="D200" s="2">
        <v>5</v>
      </c>
      <c r="E200" s="2">
        <v>5000</v>
      </c>
      <c r="F200" s="2">
        <v>74767</v>
      </c>
      <c r="G200" s="12">
        <v>45603</v>
      </c>
      <c r="H200" s="2">
        <v>74767</v>
      </c>
      <c r="I200" t="str">
        <f t="shared" si="3"/>
        <v>Nov</v>
      </c>
    </row>
    <row r="201" spans="1:9" x14ac:dyDescent="0.4">
      <c r="A201" s="2" t="s">
        <v>1375</v>
      </c>
      <c r="B201" s="2" t="s">
        <v>505</v>
      </c>
      <c r="C201" s="2" t="s">
        <v>1175</v>
      </c>
      <c r="D201" s="2">
        <v>2</v>
      </c>
      <c r="E201" s="2">
        <v>5000</v>
      </c>
      <c r="F201" s="2"/>
      <c r="G201" s="12">
        <v>45894</v>
      </c>
      <c r="H201" s="2">
        <v>0</v>
      </c>
      <c r="I201" t="str">
        <f t="shared" si="3"/>
        <v>Aug</v>
      </c>
    </row>
    <row r="202" spans="1:9" x14ac:dyDescent="0.4">
      <c r="A202" s="2" t="s">
        <v>1376</v>
      </c>
      <c r="B202" s="2" t="s">
        <v>312</v>
      </c>
      <c r="C202" s="2" t="s">
        <v>1175</v>
      </c>
      <c r="D202" s="2">
        <v>2</v>
      </c>
      <c r="E202" s="2">
        <v>10000</v>
      </c>
      <c r="F202" s="2">
        <v>47421</v>
      </c>
      <c r="G202" s="12">
        <v>45684</v>
      </c>
      <c r="H202" s="2">
        <v>47421</v>
      </c>
      <c r="I202" t="str">
        <f t="shared" si="3"/>
        <v>Jan</v>
      </c>
    </row>
    <row r="203" spans="1:9" x14ac:dyDescent="0.4">
      <c r="A203" s="2" t="s">
        <v>1377</v>
      </c>
      <c r="B203" s="2" t="s">
        <v>923</v>
      </c>
      <c r="C203" s="2" t="s">
        <v>1182</v>
      </c>
      <c r="D203" s="2">
        <v>2</v>
      </c>
      <c r="E203" s="2">
        <v>15000</v>
      </c>
      <c r="F203" s="2">
        <v>42923</v>
      </c>
      <c r="G203" s="12">
        <v>45678</v>
      </c>
      <c r="H203" s="2">
        <v>42923</v>
      </c>
      <c r="I203" t="str">
        <f t="shared" si="3"/>
        <v>Jan</v>
      </c>
    </row>
    <row r="204" spans="1:9" x14ac:dyDescent="0.4">
      <c r="A204" s="2" t="s">
        <v>1378</v>
      </c>
      <c r="B204" s="2" t="s">
        <v>365</v>
      </c>
      <c r="C204" s="2" t="s">
        <v>1171</v>
      </c>
      <c r="D204" s="2"/>
      <c r="E204" s="2">
        <v>5000</v>
      </c>
      <c r="F204" s="2"/>
      <c r="G204" s="12">
        <v>45555</v>
      </c>
      <c r="H204" s="2">
        <v>0</v>
      </c>
      <c r="I204" t="str">
        <f t="shared" si="3"/>
        <v>Sep</v>
      </c>
    </row>
    <row r="205" spans="1:9" x14ac:dyDescent="0.4">
      <c r="A205" s="2" t="s">
        <v>1379</v>
      </c>
      <c r="B205" s="2" t="s">
        <v>147</v>
      </c>
      <c r="C205" s="2" t="s">
        <v>1180</v>
      </c>
      <c r="D205" s="2">
        <v>2</v>
      </c>
      <c r="E205" s="2">
        <v>15000</v>
      </c>
      <c r="F205" s="2">
        <v>22771</v>
      </c>
      <c r="G205" s="12">
        <v>45362</v>
      </c>
      <c r="H205" s="2">
        <v>22771</v>
      </c>
      <c r="I205" t="str">
        <f t="shared" si="3"/>
        <v>Mar</v>
      </c>
    </row>
    <row r="206" spans="1:9" x14ac:dyDescent="0.4">
      <c r="A206" s="2" t="s">
        <v>1380</v>
      </c>
      <c r="B206" s="2" t="s">
        <v>286</v>
      </c>
      <c r="C206" s="2" t="s">
        <v>1180</v>
      </c>
      <c r="D206" s="2">
        <v>2</v>
      </c>
      <c r="E206" s="2"/>
      <c r="F206" s="2">
        <v>12770</v>
      </c>
      <c r="G206" s="12">
        <v>45288</v>
      </c>
      <c r="H206" s="2">
        <v>12770</v>
      </c>
      <c r="I206" t="str">
        <f t="shared" si="3"/>
        <v>Dec</v>
      </c>
    </row>
    <row r="207" spans="1:9" x14ac:dyDescent="0.4">
      <c r="A207" s="2" t="s">
        <v>1381</v>
      </c>
      <c r="B207" s="2" t="s">
        <v>965</v>
      </c>
      <c r="C207" s="2" t="s">
        <v>1187</v>
      </c>
      <c r="D207" s="2">
        <v>5</v>
      </c>
      <c r="E207" s="2">
        <v>15000</v>
      </c>
      <c r="F207" s="2"/>
      <c r="G207" s="12">
        <v>45172</v>
      </c>
      <c r="H207" s="2">
        <v>0</v>
      </c>
      <c r="I207" t="str">
        <f t="shared" si="3"/>
        <v>Sep</v>
      </c>
    </row>
    <row r="208" spans="1:9" x14ac:dyDescent="0.4">
      <c r="A208" s="2" t="s">
        <v>1382</v>
      </c>
      <c r="B208" s="2" t="s">
        <v>969</v>
      </c>
      <c r="C208" s="2" t="s">
        <v>1171</v>
      </c>
      <c r="D208" s="2">
        <v>2</v>
      </c>
      <c r="E208" s="2">
        <v>5000</v>
      </c>
      <c r="F208" s="2"/>
      <c r="G208" s="12">
        <v>45763</v>
      </c>
      <c r="H208" s="2">
        <v>0</v>
      </c>
      <c r="I208" t="str">
        <f t="shared" si="3"/>
        <v>Apr</v>
      </c>
    </row>
    <row r="209" spans="1:9" x14ac:dyDescent="0.4">
      <c r="A209" s="2" t="s">
        <v>1383</v>
      </c>
      <c r="B209" s="2" t="s">
        <v>255</v>
      </c>
      <c r="C209" s="2" t="s">
        <v>1187</v>
      </c>
      <c r="D209" s="2">
        <v>2</v>
      </c>
      <c r="E209" s="2">
        <v>20000</v>
      </c>
      <c r="F209" s="2"/>
      <c r="G209" s="12">
        <v>45325</v>
      </c>
      <c r="H209" s="2">
        <v>0</v>
      </c>
      <c r="I209" t="str">
        <f t="shared" si="3"/>
        <v>Feb</v>
      </c>
    </row>
    <row r="210" spans="1:9" x14ac:dyDescent="0.4">
      <c r="A210" s="2" t="s">
        <v>1384</v>
      </c>
      <c r="B210" s="2" t="s">
        <v>593</v>
      </c>
      <c r="C210" s="2" t="s">
        <v>1171</v>
      </c>
      <c r="D210" s="2">
        <v>5</v>
      </c>
      <c r="E210" s="2"/>
      <c r="F210" s="2">
        <v>98243</v>
      </c>
      <c r="G210" s="12">
        <v>45249</v>
      </c>
      <c r="H210" s="2">
        <v>98243</v>
      </c>
      <c r="I210" t="str">
        <f t="shared" si="3"/>
        <v>Nov</v>
      </c>
    </row>
    <row r="211" spans="1:9" x14ac:dyDescent="0.4">
      <c r="A211" s="2" t="s">
        <v>1385</v>
      </c>
      <c r="B211" s="2" t="s">
        <v>537</v>
      </c>
      <c r="C211" s="2" t="s">
        <v>1173</v>
      </c>
      <c r="D211" s="2">
        <v>5</v>
      </c>
      <c r="E211" s="2"/>
      <c r="F211" s="2">
        <v>37447</v>
      </c>
      <c r="G211" s="12">
        <v>45380</v>
      </c>
      <c r="H211" s="2">
        <v>37447</v>
      </c>
      <c r="I211" t="str">
        <f t="shared" si="3"/>
        <v>Mar</v>
      </c>
    </row>
    <row r="212" spans="1:9" x14ac:dyDescent="0.4">
      <c r="A212" s="2" t="s">
        <v>1386</v>
      </c>
      <c r="B212" s="2" t="s">
        <v>265</v>
      </c>
      <c r="C212" s="2" t="s">
        <v>1173</v>
      </c>
      <c r="D212" s="2">
        <v>5</v>
      </c>
      <c r="E212" s="2">
        <v>10000</v>
      </c>
      <c r="F212" s="2"/>
      <c r="G212" s="12">
        <v>45247</v>
      </c>
      <c r="H212" s="2">
        <v>0</v>
      </c>
      <c r="I212" t="str">
        <f t="shared" si="3"/>
        <v>Nov</v>
      </c>
    </row>
    <row r="213" spans="1:9" x14ac:dyDescent="0.4">
      <c r="A213" s="2" t="s">
        <v>1387</v>
      </c>
      <c r="B213" s="2" t="s">
        <v>242</v>
      </c>
      <c r="C213" s="2" t="s">
        <v>1171</v>
      </c>
      <c r="D213" s="2">
        <v>3</v>
      </c>
      <c r="E213" s="2">
        <v>10000</v>
      </c>
      <c r="F213" s="2">
        <v>80684</v>
      </c>
      <c r="G213" s="12">
        <v>45432</v>
      </c>
      <c r="H213" s="2">
        <v>80684</v>
      </c>
      <c r="I213" t="str">
        <f t="shared" si="3"/>
        <v>May</v>
      </c>
    </row>
    <row r="214" spans="1:9" x14ac:dyDescent="0.4">
      <c r="A214" s="2" t="s">
        <v>1388</v>
      </c>
      <c r="B214" s="2" t="s">
        <v>1105</v>
      </c>
      <c r="C214" s="2" t="s">
        <v>1182</v>
      </c>
      <c r="D214" s="2">
        <v>5</v>
      </c>
      <c r="E214" s="2">
        <v>20000</v>
      </c>
      <c r="F214" s="2">
        <v>87288</v>
      </c>
      <c r="G214" s="12">
        <v>45228</v>
      </c>
      <c r="H214" s="2">
        <v>87288</v>
      </c>
      <c r="I214" t="str">
        <f t="shared" si="3"/>
        <v>Oct</v>
      </c>
    </row>
    <row r="215" spans="1:9" x14ac:dyDescent="0.4">
      <c r="A215" s="2" t="s">
        <v>1389</v>
      </c>
      <c r="B215" s="2" t="s">
        <v>249</v>
      </c>
      <c r="C215" s="2" t="s">
        <v>1173</v>
      </c>
      <c r="D215" s="2">
        <v>3</v>
      </c>
      <c r="E215" s="2">
        <v>15000</v>
      </c>
      <c r="F215" s="2">
        <v>54174</v>
      </c>
      <c r="G215" s="12">
        <v>45578</v>
      </c>
      <c r="H215" s="2">
        <v>54174</v>
      </c>
      <c r="I215" t="str">
        <f t="shared" si="3"/>
        <v>Oct</v>
      </c>
    </row>
    <row r="216" spans="1:9" x14ac:dyDescent="0.4">
      <c r="A216" s="2" t="s">
        <v>1390</v>
      </c>
      <c r="B216" s="2" t="s">
        <v>369</v>
      </c>
      <c r="C216" s="2" t="s">
        <v>1182</v>
      </c>
      <c r="D216" s="2">
        <v>5</v>
      </c>
      <c r="E216" s="2"/>
      <c r="F216" s="2"/>
      <c r="G216" s="12">
        <v>45359</v>
      </c>
      <c r="H216" s="2">
        <v>0</v>
      </c>
      <c r="I216" t="str">
        <f t="shared" si="3"/>
        <v>Mar</v>
      </c>
    </row>
    <row r="217" spans="1:9" x14ac:dyDescent="0.4">
      <c r="A217" s="2" t="s">
        <v>1391</v>
      </c>
      <c r="B217" s="2" t="s">
        <v>781</v>
      </c>
      <c r="C217" s="2" t="s">
        <v>1173</v>
      </c>
      <c r="D217" s="2"/>
      <c r="E217" s="2">
        <v>20000</v>
      </c>
      <c r="F217" s="2">
        <v>57802</v>
      </c>
      <c r="G217" s="12">
        <v>45049</v>
      </c>
      <c r="H217" s="2">
        <v>57802</v>
      </c>
      <c r="I217" t="str">
        <f t="shared" si="3"/>
        <v>May</v>
      </c>
    </row>
    <row r="218" spans="1:9" x14ac:dyDescent="0.4">
      <c r="A218" s="2" t="s">
        <v>1392</v>
      </c>
      <c r="B218" s="2" t="s">
        <v>390</v>
      </c>
      <c r="C218" s="2" t="s">
        <v>1180</v>
      </c>
      <c r="D218" s="2">
        <v>2</v>
      </c>
      <c r="E218" s="2">
        <v>10000</v>
      </c>
      <c r="F218" s="2">
        <v>96056</v>
      </c>
      <c r="G218" s="12">
        <v>45946</v>
      </c>
      <c r="H218" s="2">
        <v>96056</v>
      </c>
      <c r="I218" t="str">
        <f t="shared" si="3"/>
        <v>Oct</v>
      </c>
    </row>
    <row r="219" spans="1:9" x14ac:dyDescent="0.4">
      <c r="A219" s="2" t="s">
        <v>1393</v>
      </c>
      <c r="B219" s="2" t="s">
        <v>388</v>
      </c>
      <c r="C219" s="2" t="s">
        <v>1175</v>
      </c>
      <c r="D219" s="2">
        <v>5</v>
      </c>
      <c r="E219" s="2">
        <v>10000</v>
      </c>
      <c r="F219" s="2">
        <v>64597</v>
      </c>
      <c r="G219" s="12">
        <v>45244</v>
      </c>
      <c r="H219" s="2">
        <v>64597</v>
      </c>
      <c r="I219" t="str">
        <f t="shared" si="3"/>
        <v>Nov</v>
      </c>
    </row>
    <row r="220" spans="1:9" x14ac:dyDescent="0.4">
      <c r="A220" s="2" t="s">
        <v>1394</v>
      </c>
      <c r="B220" s="2" t="s">
        <v>905</v>
      </c>
      <c r="C220" s="2" t="s">
        <v>1175</v>
      </c>
      <c r="D220" s="2">
        <v>2</v>
      </c>
      <c r="E220" s="2"/>
      <c r="F220" s="2"/>
      <c r="G220" s="12">
        <v>45561</v>
      </c>
      <c r="H220" s="2">
        <v>0</v>
      </c>
      <c r="I220" t="str">
        <f t="shared" si="3"/>
        <v>Sep</v>
      </c>
    </row>
    <row r="221" spans="1:9" x14ac:dyDescent="0.4">
      <c r="A221" s="2" t="s">
        <v>1395</v>
      </c>
      <c r="B221" s="2" t="s">
        <v>629</v>
      </c>
      <c r="C221" s="2" t="s">
        <v>1180</v>
      </c>
      <c r="D221" s="2">
        <v>2</v>
      </c>
      <c r="E221" s="2">
        <v>15000</v>
      </c>
      <c r="F221" s="2">
        <v>17208</v>
      </c>
      <c r="G221" s="12">
        <v>45506</v>
      </c>
      <c r="H221" s="2">
        <v>17208</v>
      </c>
      <c r="I221" t="str">
        <f t="shared" si="3"/>
        <v>Aug</v>
      </c>
    </row>
    <row r="222" spans="1:9" x14ac:dyDescent="0.4">
      <c r="A222" s="2" t="s">
        <v>1396</v>
      </c>
      <c r="B222" s="2" t="s">
        <v>188</v>
      </c>
      <c r="C222" s="2" t="s">
        <v>1171</v>
      </c>
      <c r="D222" s="2">
        <v>4</v>
      </c>
      <c r="E222" s="2">
        <v>5000</v>
      </c>
      <c r="F222" s="2">
        <v>88209</v>
      </c>
      <c r="G222" s="12">
        <v>45432</v>
      </c>
      <c r="H222" s="2">
        <v>88209</v>
      </c>
      <c r="I222" t="str">
        <f t="shared" si="3"/>
        <v>May</v>
      </c>
    </row>
    <row r="223" spans="1:9" x14ac:dyDescent="0.4">
      <c r="A223" s="2" t="s">
        <v>1397</v>
      </c>
      <c r="B223" s="2" t="s">
        <v>890</v>
      </c>
      <c r="C223" s="2" t="s">
        <v>1187</v>
      </c>
      <c r="D223" s="2">
        <v>5</v>
      </c>
      <c r="E223" s="2">
        <v>10000</v>
      </c>
      <c r="F223" s="2">
        <v>13300</v>
      </c>
      <c r="G223" s="12">
        <v>44993</v>
      </c>
      <c r="H223" s="2">
        <v>13300</v>
      </c>
      <c r="I223" t="str">
        <f t="shared" si="3"/>
        <v>Mar</v>
      </c>
    </row>
    <row r="224" spans="1:9" x14ac:dyDescent="0.4">
      <c r="A224" s="2" t="s">
        <v>1398</v>
      </c>
      <c r="B224" s="2" t="s">
        <v>322</v>
      </c>
      <c r="C224" s="2" t="s">
        <v>1175</v>
      </c>
      <c r="D224" s="2">
        <v>1</v>
      </c>
      <c r="E224" s="2">
        <v>15000</v>
      </c>
      <c r="F224" s="2">
        <v>33551</v>
      </c>
      <c r="G224" s="12">
        <v>45416</v>
      </c>
      <c r="H224" s="2">
        <v>33551</v>
      </c>
      <c r="I224" t="str">
        <f t="shared" si="3"/>
        <v>May</v>
      </c>
    </row>
    <row r="225" spans="1:9" x14ac:dyDescent="0.4">
      <c r="A225" s="2" t="s">
        <v>1399</v>
      </c>
      <c r="B225" s="2" t="s">
        <v>476</v>
      </c>
      <c r="C225" s="2" t="s">
        <v>1173</v>
      </c>
      <c r="D225" s="2">
        <v>4</v>
      </c>
      <c r="E225" s="2">
        <v>15000</v>
      </c>
      <c r="F225" s="2">
        <v>32767</v>
      </c>
      <c r="G225" s="12">
        <v>45740</v>
      </c>
      <c r="H225" s="2">
        <v>32767</v>
      </c>
      <c r="I225" t="str">
        <f t="shared" si="3"/>
        <v>Mar</v>
      </c>
    </row>
    <row r="226" spans="1:9" x14ac:dyDescent="0.4">
      <c r="A226" s="2" t="s">
        <v>1400</v>
      </c>
      <c r="B226" s="2" t="s">
        <v>914</v>
      </c>
      <c r="C226" s="2" t="s">
        <v>1173</v>
      </c>
      <c r="D226" s="2">
        <v>1</v>
      </c>
      <c r="E226" s="2">
        <v>10000</v>
      </c>
      <c r="F226" s="2">
        <v>40197</v>
      </c>
      <c r="G226" s="12">
        <v>45655</v>
      </c>
      <c r="H226" s="2">
        <v>40197</v>
      </c>
      <c r="I226" t="str">
        <f t="shared" si="3"/>
        <v>Dec</v>
      </c>
    </row>
    <row r="227" spans="1:9" x14ac:dyDescent="0.4">
      <c r="A227" s="2" t="s">
        <v>1401</v>
      </c>
      <c r="B227" s="2" t="s">
        <v>90</v>
      </c>
      <c r="C227" s="2" t="s">
        <v>1175</v>
      </c>
      <c r="D227" s="2">
        <v>2</v>
      </c>
      <c r="E227" s="2">
        <v>15000</v>
      </c>
      <c r="F227" s="2">
        <v>42171</v>
      </c>
      <c r="G227" s="12">
        <v>44988</v>
      </c>
      <c r="H227" s="2">
        <v>42171</v>
      </c>
      <c r="I227" t="str">
        <f t="shared" si="3"/>
        <v>Mar</v>
      </c>
    </row>
    <row r="228" spans="1:9" x14ac:dyDescent="0.4">
      <c r="A228" s="2" t="s">
        <v>1402</v>
      </c>
      <c r="B228" s="2" t="s">
        <v>1069</v>
      </c>
      <c r="C228" s="2" t="s">
        <v>1175</v>
      </c>
      <c r="D228" s="2">
        <v>2</v>
      </c>
      <c r="E228" s="2">
        <v>15000</v>
      </c>
      <c r="F228" s="2"/>
      <c r="G228" s="12">
        <v>45432</v>
      </c>
      <c r="H228" s="2">
        <v>0</v>
      </c>
      <c r="I228" t="str">
        <f t="shared" si="3"/>
        <v>May</v>
      </c>
    </row>
    <row r="229" spans="1:9" x14ac:dyDescent="0.4">
      <c r="A229" s="2" t="s">
        <v>1403</v>
      </c>
      <c r="B229" s="2" t="s">
        <v>1096</v>
      </c>
      <c r="C229" s="2" t="s">
        <v>1187</v>
      </c>
      <c r="D229" s="2">
        <v>4</v>
      </c>
      <c r="E229" s="2">
        <v>20000</v>
      </c>
      <c r="F229" s="2">
        <v>79205</v>
      </c>
      <c r="G229" s="12">
        <v>45884</v>
      </c>
      <c r="H229" s="2">
        <v>79205</v>
      </c>
      <c r="I229" t="str">
        <f t="shared" si="3"/>
        <v>Aug</v>
      </c>
    </row>
    <row r="230" spans="1:9" x14ac:dyDescent="0.4">
      <c r="A230" s="2" t="s">
        <v>1404</v>
      </c>
      <c r="B230" s="2" t="s">
        <v>857</v>
      </c>
      <c r="C230" s="2" t="s">
        <v>1175</v>
      </c>
      <c r="D230" s="2">
        <v>4</v>
      </c>
      <c r="E230" s="2">
        <v>15000</v>
      </c>
      <c r="F230" s="2"/>
      <c r="G230" s="12">
        <v>45622</v>
      </c>
      <c r="H230" s="2">
        <v>0</v>
      </c>
      <c r="I230" t="str">
        <f t="shared" si="3"/>
        <v>Nov</v>
      </c>
    </row>
    <row r="231" spans="1:9" x14ac:dyDescent="0.4">
      <c r="A231" s="2" t="s">
        <v>1405</v>
      </c>
      <c r="B231" s="2" t="s">
        <v>60</v>
      </c>
      <c r="C231" s="2" t="s">
        <v>1171</v>
      </c>
      <c r="D231" s="2">
        <v>1</v>
      </c>
      <c r="E231" s="2">
        <v>20000</v>
      </c>
      <c r="F231" s="2"/>
      <c r="G231" s="12">
        <v>45810</v>
      </c>
      <c r="H231" s="2">
        <v>0</v>
      </c>
      <c r="I231" t="str">
        <f t="shared" si="3"/>
        <v>Jun</v>
      </c>
    </row>
    <row r="232" spans="1:9" x14ac:dyDescent="0.4">
      <c r="A232" s="2" t="s">
        <v>1406</v>
      </c>
      <c r="B232" s="2" t="s">
        <v>107</v>
      </c>
      <c r="C232" s="2" t="s">
        <v>1187</v>
      </c>
      <c r="D232" s="2">
        <v>3</v>
      </c>
      <c r="E232" s="2">
        <v>15000</v>
      </c>
      <c r="F232" s="2">
        <v>87074</v>
      </c>
      <c r="G232" s="12">
        <v>45227</v>
      </c>
      <c r="H232" s="2">
        <v>87074</v>
      </c>
      <c r="I232" t="str">
        <f t="shared" si="3"/>
        <v>Oct</v>
      </c>
    </row>
    <row r="233" spans="1:9" x14ac:dyDescent="0.4">
      <c r="A233" s="2" t="s">
        <v>1407</v>
      </c>
      <c r="B233" s="2" t="s">
        <v>545</v>
      </c>
      <c r="C233" s="2" t="s">
        <v>1180</v>
      </c>
      <c r="D233" s="2">
        <v>1</v>
      </c>
      <c r="E233" s="2">
        <v>5000</v>
      </c>
      <c r="F233" s="2"/>
      <c r="G233" s="12">
        <v>45567</v>
      </c>
      <c r="H233" s="2">
        <v>0</v>
      </c>
      <c r="I233" t="str">
        <f t="shared" si="3"/>
        <v>Oct</v>
      </c>
    </row>
    <row r="234" spans="1:9" x14ac:dyDescent="0.4">
      <c r="A234" s="2" t="s">
        <v>1408</v>
      </c>
      <c r="B234" s="2" t="s">
        <v>839</v>
      </c>
      <c r="C234" s="2" t="s">
        <v>1180</v>
      </c>
      <c r="D234" s="2">
        <v>4</v>
      </c>
      <c r="E234" s="2">
        <v>5000</v>
      </c>
      <c r="F234" s="2">
        <v>25707</v>
      </c>
      <c r="G234" s="12">
        <v>45520</v>
      </c>
      <c r="H234" s="2">
        <v>25707</v>
      </c>
      <c r="I234" t="str">
        <f t="shared" si="3"/>
        <v>Aug</v>
      </c>
    </row>
    <row r="235" spans="1:9" x14ac:dyDescent="0.4">
      <c r="A235" s="2" t="s">
        <v>1409</v>
      </c>
      <c r="B235" s="2" t="s">
        <v>1015</v>
      </c>
      <c r="C235" s="2" t="s">
        <v>1175</v>
      </c>
      <c r="D235" s="2">
        <v>5</v>
      </c>
      <c r="E235" s="2"/>
      <c r="F235" s="2"/>
      <c r="G235" s="12">
        <v>45226</v>
      </c>
      <c r="H235" s="2">
        <v>0</v>
      </c>
      <c r="I235" t="str">
        <f t="shared" si="3"/>
        <v>Oct</v>
      </c>
    </row>
    <row r="236" spans="1:9" x14ac:dyDescent="0.4">
      <c r="A236" s="2" t="s">
        <v>1410</v>
      </c>
      <c r="B236" s="2" t="s">
        <v>639</v>
      </c>
      <c r="C236" s="2" t="s">
        <v>1173</v>
      </c>
      <c r="D236" s="2">
        <v>4</v>
      </c>
      <c r="E236" s="2">
        <v>20000</v>
      </c>
      <c r="F236" s="2"/>
      <c r="G236" s="12">
        <v>45754</v>
      </c>
      <c r="H236" s="2">
        <v>0</v>
      </c>
      <c r="I236" t="str">
        <f t="shared" si="3"/>
        <v>Apr</v>
      </c>
    </row>
    <row r="237" spans="1:9" x14ac:dyDescent="0.4">
      <c r="A237" s="2" t="s">
        <v>1411</v>
      </c>
      <c r="B237" s="2" t="s">
        <v>72</v>
      </c>
      <c r="C237" s="2" t="s">
        <v>1180</v>
      </c>
      <c r="D237" s="2">
        <v>5</v>
      </c>
      <c r="E237" s="2">
        <v>10000</v>
      </c>
      <c r="F237" s="2"/>
      <c r="G237" s="12">
        <v>45064</v>
      </c>
      <c r="H237" s="2">
        <v>0</v>
      </c>
      <c r="I237" t="str">
        <f t="shared" si="3"/>
        <v>May</v>
      </c>
    </row>
    <row r="238" spans="1:9" x14ac:dyDescent="0.4">
      <c r="A238" s="2" t="s">
        <v>1412</v>
      </c>
      <c r="B238" s="2" t="s">
        <v>536</v>
      </c>
      <c r="C238" s="2" t="s">
        <v>1175</v>
      </c>
      <c r="D238" s="2"/>
      <c r="E238" s="2">
        <v>20000</v>
      </c>
      <c r="F238" s="2">
        <v>90196</v>
      </c>
      <c r="G238" s="12">
        <v>45705</v>
      </c>
      <c r="H238" s="2">
        <v>90196</v>
      </c>
      <c r="I238" t="str">
        <f t="shared" si="3"/>
        <v>Feb</v>
      </c>
    </row>
    <row r="239" spans="1:9" x14ac:dyDescent="0.4">
      <c r="A239" s="2" t="s">
        <v>1413</v>
      </c>
      <c r="B239" s="2" t="s">
        <v>629</v>
      </c>
      <c r="C239" s="2" t="s">
        <v>1171</v>
      </c>
      <c r="D239" s="2">
        <v>4</v>
      </c>
      <c r="E239" s="2">
        <v>10000</v>
      </c>
      <c r="F239" s="2">
        <v>25837</v>
      </c>
      <c r="G239" s="12">
        <v>45250</v>
      </c>
      <c r="H239" s="2">
        <v>25837</v>
      </c>
      <c r="I239" t="str">
        <f t="shared" si="3"/>
        <v>Nov</v>
      </c>
    </row>
    <row r="240" spans="1:9" x14ac:dyDescent="0.4">
      <c r="A240" s="2" t="s">
        <v>1414</v>
      </c>
      <c r="B240" s="2" t="s">
        <v>640</v>
      </c>
      <c r="C240" s="2" t="s">
        <v>1171</v>
      </c>
      <c r="D240" s="2"/>
      <c r="E240" s="2">
        <v>15000</v>
      </c>
      <c r="F240" s="2">
        <v>17234</v>
      </c>
      <c r="G240" s="12">
        <v>45503</v>
      </c>
      <c r="H240" s="2">
        <v>17234</v>
      </c>
      <c r="I240" t="str">
        <f t="shared" si="3"/>
        <v>Jul</v>
      </c>
    </row>
    <row r="241" spans="1:9" x14ac:dyDescent="0.4">
      <c r="A241" s="2" t="s">
        <v>1415</v>
      </c>
      <c r="B241" s="2" t="s">
        <v>1130</v>
      </c>
      <c r="C241" s="2" t="s">
        <v>1173</v>
      </c>
      <c r="D241" s="2">
        <v>3</v>
      </c>
      <c r="E241" s="2">
        <v>20000</v>
      </c>
      <c r="F241" s="2"/>
      <c r="G241" s="12">
        <v>45917</v>
      </c>
      <c r="H241" s="2">
        <v>0</v>
      </c>
      <c r="I241" t="str">
        <f t="shared" si="3"/>
        <v>Sep</v>
      </c>
    </row>
    <row r="242" spans="1:9" x14ac:dyDescent="0.4">
      <c r="A242" s="2" t="s">
        <v>1416</v>
      </c>
      <c r="B242" s="2" t="s">
        <v>1053</v>
      </c>
      <c r="C242" s="2" t="s">
        <v>1187</v>
      </c>
      <c r="D242" s="2">
        <v>1</v>
      </c>
      <c r="E242" s="2">
        <v>15000</v>
      </c>
      <c r="F242" s="2"/>
      <c r="G242" s="12">
        <v>45778</v>
      </c>
      <c r="H242" s="2">
        <v>0</v>
      </c>
      <c r="I242" t="str">
        <f t="shared" si="3"/>
        <v>May</v>
      </c>
    </row>
    <row r="243" spans="1:9" x14ac:dyDescent="0.4">
      <c r="A243" s="2" t="s">
        <v>1417</v>
      </c>
      <c r="B243" s="2" t="s">
        <v>462</v>
      </c>
      <c r="C243" s="2" t="s">
        <v>1173</v>
      </c>
      <c r="D243" s="2">
        <v>5</v>
      </c>
      <c r="E243" s="2">
        <v>5000</v>
      </c>
      <c r="F243" s="2">
        <v>11787</v>
      </c>
      <c r="G243" s="12">
        <v>45904</v>
      </c>
      <c r="H243" s="2">
        <v>11787</v>
      </c>
      <c r="I243" t="str">
        <f t="shared" si="3"/>
        <v>Sep</v>
      </c>
    </row>
    <row r="244" spans="1:9" x14ac:dyDescent="0.4">
      <c r="A244" s="2" t="s">
        <v>1418</v>
      </c>
      <c r="B244" s="2" t="s">
        <v>467</v>
      </c>
      <c r="C244" s="2" t="s">
        <v>1175</v>
      </c>
      <c r="D244" s="2">
        <v>1</v>
      </c>
      <c r="E244" s="2">
        <v>5000</v>
      </c>
      <c r="F244" s="2">
        <v>86999</v>
      </c>
      <c r="G244" s="12">
        <v>45084</v>
      </c>
      <c r="H244" s="2">
        <v>86999</v>
      </c>
      <c r="I244" t="str">
        <f t="shared" si="3"/>
        <v>Jun</v>
      </c>
    </row>
    <row r="245" spans="1:9" x14ac:dyDescent="0.4">
      <c r="A245" s="2" t="s">
        <v>1419</v>
      </c>
      <c r="B245" s="2" t="s">
        <v>131</v>
      </c>
      <c r="C245" s="2" t="s">
        <v>1173</v>
      </c>
      <c r="D245" s="2"/>
      <c r="E245" s="2"/>
      <c r="F245" s="2"/>
      <c r="G245" s="12">
        <v>45810</v>
      </c>
      <c r="H245" s="2">
        <v>0</v>
      </c>
      <c r="I245" t="str">
        <f t="shared" si="3"/>
        <v>Jun</v>
      </c>
    </row>
    <row r="246" spans="1:9" x14ac:dyDescent="0.4">
      <c r="A246" s="2" t="s">
        <v>1420</v>
      </c>
      <c r="B246" s="2" t="s">
        <v>404</v>
      </c>
      <c r="C246" s="2" t="s">
        <v>1187</v>
      </c>
      <c r="D246" s="2">
        <v>5</v>
      </c>
      <c r="E246" s="2">
        <v>20000</v>
      </c>
      <c r="F246" s="2"/>
      <c r="G246" s="12">
        <v>45274</v>
      </c>
      <c r="H246" s="2">
        <v>0</v>
      </c>
      <c r="I246" t="str">
        <f t="shared" si="3"/>
        <v>Dec</v>
      </c>
    </row>
    <row r="247" spans="1:9" x14ac:dyDescent="0.4">
      <c r="A247" s="2" t="s">
        <v>1421</v>
      </c>
      <c r="B247" s="2" t="s">
        <v>49</v>
      </c>
      <c r="C247" s="2" t="s">
        <v>1182</v>
      </c>
      <c r="D247" s="2">
        <v>1</v>
      </c>
      <c r="E247" s="2">
        <v>15000</v>
      </c>
      <c r="F247" s="2"/>
      <c r="G247" s="12">
        <v>45315</v>
      </c>
      <c r="H247" s="2">
        <v>0</v>
      </c>
      <c r="I247" t="str">
        <f t="shared" si="3"/>
        <v>Jan</v>
      </c>
    </row>
    <row r="248" spans="1:9" x14ac:dyDescent="0.4">
      <c r="A248" s="2" t="s">
        <v>1422</v>
      </c>
      <c r="B248" s="2" t="s">
        <v>413</v>
      </c>
      <c r="C248" s="2" t="s">
        <v>1173</v>
      </c>
      <c r="D248" s="2">
        <v>4</v>
      </c>
      <c r="E248" s="2">
        <v>10000</v>
      </c>
      <c r="F248" s="2"/>
      <c r="G248" s="12">
        <v>45400</v>
      </c>
      <c r="H248" s="2">
        <v>0</v>
      </c>
      <c r="I248" t="str">
        <f t="shared" si="3"/>
        <v>Apr</v>
      </c>
    </row>
    <row r="249" spans="1:9" x14ac:dyDescent="0.4">
      <c r="A249" s="2" t="s">
        <v>1423</v>
      </c>
      <c r="B249" s="2" t="s">
        <v>522</v>
      </c>
      <c r="C249" s="2" t="s">
        <v>1180</v>
      </c>
      <c r="D249" s="2">
        <v>2</v>
      </c>
      <c r="E249" s="2">
        <v>5000</v>
      </c>
      <c r="F249" s="2"/>
      <c r="G249" s="12">
        <v>45357</v>
      </c>
      <c r="H249" s="2">
        <v>0</v>
      </c>
      <c r="I249" t="str">
        <f t="shared" si="3"/>
        <v>Mar</v>
      </c>
    </row>
    <row r="250" spans="1:9" x14ac:dyDescent="0.4">
      <c r="A250" s="2" t="s">
        <v>1424</v>
      </c>
      <c r="B250" s="2" t="s">
        <v>379</v>
      </c>
      <c r="C250" s="2" t="s">
        <v>1187</v>
      </c>
      <c r="D250" s="2"/>
      <c r="E250" s="2">
        <v>5000</v>
      </c>
      <c r="F250" s="2"/>
      <c r="G250" s="12">
        <v>45053</v>
      </c>
      <c r="H250" s="2">
        <v>0</v>
      </c>
      <c r="I250" t="str">
        <f t="shared" si="3"/>
        <v>May</v>
      </c>
    </row>
    <row r="251" spans="1:9" x14ac:dyDescent="0.4">
      <c r="A251" s="2" t="s">
        <v>1425</v>
      </c>
      <c r="B251" s="2" t="s">
        <v>1118</v>
      </c>
      <c r="C251" s="2" t="s">
        <v>1182</v>
      </c>
      <c r="D251" s="2">
        <v>1</v>
      </c>
      <c r="E251" s="2">
        <v>10000</v>
      </c>
      <c r="F251" s="2">
        <v>73084</v>
      </c>
      <c r="G251" s="12">
        <v>44996</v>
      </c>
      <c r="H251" s="2">
        <v>73084</v>
      </c>
      <c r="I251" t="str">
        <f t="shared" si="3"/>
        <v>Mar</v>
      </c>
    </row>
    <row r="252" spans="1:9" x14ac:dyDescent="0.4">
      <c r="A252" s="2" t="s">
        <v>1426</v>
      </c>
      <c r="B252" s="2" t="s">
        <v>122</v>
      </c>
      <c r="C252" s="2" t="s">
        <v>1187</v>
      </c>
      <c r="D252" s="2"/>
      <c r="E252" s="2">
        <v>15000</v>
      </c>
      <c r="F252" s="2"/>
      <c r="G252" s="12">
        <v>45504</v>
      </c>
      <c r="H252" s="2">
        <v>0</v>
      </c>
      <c r="I252" t="str">
        <f t="shared" si="3"/>
        <v>Jul</v>
      </c>
    </row>
    <row r="253" spans="1:9" x14ac:dyDescent="0.4">
      <c r="A253" s="2" t="s">
        <v>1427</v>
      </c>
      <c r="B253" s="2" t="s">
        <v>852</v>
      </c>
      <c r="C253" s="2" t="s">
        <v>1187</v>
      </c>
      <c r="D253" s="2">
        <v>2</v>
      </c>
      <c r="E253" s="2">
        <v>15000</v>
      </c>
      <c r="F253" s="2">
        <v>96173</v>
      </c>
      <c r="G253" s="12">
        <v>45524</v>
      </c>
      <c r="H253" s="2">
        <v>96173</v>
      </c>
      <c r="I253" t="str">
        <f t="shared" si="3"/>
        <v>Aug</v>
      </c>
    </row>
    <row r="254" spans="1:9" x14ac:dyDescent="0.4">
      <c r="A254" s="2" t="s">
        <v>1428</v>
      </c>
      <c r="B254" s="2" t="s">
        <v>660</v>
      </c>
      <c r="C254" s="2" t="s">
        <v>1180</v>
      </c>
      <c r="D254" s="2"/>
      <c r="E254" s="2">
        <v>20000</v>
      </c>
      <c r="F254" s="2">
        <v>20806</v>
      </c>
      <c r="G254" s="12">
        <v>45654</v>
      </c>
      <c r="H254" s="2">
        <v>20806</v>
      </c>
      <c r="I254" t="str">
        <f t="shared" si="3"/>
        <v>Dec</v>
      </c>
    </row>
    <row r="255" spans="1:9" x14ac:dyDescent="0.4">
      <c r="A255" s="2" t="s">
        <v>1429</v>
      </c>
      <c r="B255" s="2" t="s">
        <v>249</v>
      </c>
      <c r="C255" s="2" t="s">
        <v>1182</v>
      </c>
      <c r="D255" s="2">
        <v>5</v>
      </c>
      <c r="E255" s="2">
        <v>20000</v>
      </c>
      <c r="F255" s="2"/>
      <c r="G255" s="12">
        <v>45100</v>
      </c>
      <c r="H255" s="2">
        <v>0</v>
      </c>
      <c r="I255" t="str">
        <f t="shared" si="3"/>
        <v>Jun</v>
      </c>
    </row>
    <row r="256" spans="1:9" x14ac:dyDescent="0.4">
      <c r="A256" s="2" t="s">
        <v>1430</v>
      </c>
      <c r="B256" s="2" t="s">
        <v>103</v>
      </c>
      <c r="C256" s="2" t="s">
        <v>1173</v>
      </c>
      <c r="D256" s="2">
        <v>2</v>
      </c>
      <c r="E256" s="2">
        <v>15000</v>
      </c>
      <c r="F256" s="2"/>
      <c r="G256" s="12">
        <v>45764</v>
      </c>
      <c r="H256" s="2">
        <v>0</v>
      </c>
      <c r="I256" t="str">
        <f t="shared" si="3"/>
        <v>Apr</v>
      </c>
    </row>
    <row r="257" spans="1:9" x14ac:dyDescent="0.4">
      <c r="A257" s="2" t="s">
        <v>1431</v>
      </c>
      <c r="B257" s="2" t="s">
        <v>635</v>
      </c>
      <c r="C257" s="2" t="s">
        <v>1182</v>
      </c>
      <c r="D257" s="2">
        <v>5</v>
      </c>
      <c r="E257" s="2">
        <v>15000</v>
      </c>
      <c r="F257" s="2">
        <v>35008</v>
      </c>
      <c r="G257" s="12">
        <v>45637</v>
      </c>
      <c r="H257" s="2">
        <v>35008</v>
      </c>
      <c r="I257" t="str">
        <f t="shared" si="3"/>
        <v>Dec</v>
      </c>
    </row>
    <row r="258" spans="1:9" x14ac:dyDescent="0.4">
      <c r="A258" s="2" t="s">
        <v>1432</v>
      </c>
      <c r="B258" s="2" t="s">
        <v>810</v>
      </c>
      <c r="C258" s="2" t="s">
        <v>1173</v>
      </c>
      <c r="D258" s="2">
        <v>5</v>
      </c>
      <c r="E258" s="2"/>
      <c r="F258" s="2"/>
      <c r="G258" s="12">
        <v>45852</v>
      </c>
      <c r="H258" s="2">
        <v>0</v>
      </c>
      <c r="I258" t="str">
        <f t="shared" si="3"/>
        <v>Jul</v>
      </c>
    </row>
    <row r="259" spans="1:9" x14ac:dyDescent="0.4">
      <c r="A259" s="2" t="s">
        <v>1433</v>
      </c>
      <c r="B259" s="2" t="s">
        <v>1161</v>
      </c>
      <c r="C259" s="2" t="s">
        <v>1180</v>
      </c>
      <c r="D259" s="2">
        <v>2</v>
      </c>
      <c r="E259" s="2">
        <v>5000</v>
      </c>
      <c r="F259" s="2">
        <v>18526</v>
      </c>
      <c r="G259" s="12">
        <v>45177</v>
      </c>
      <c r="H259" s="2">
        <v>18526</v>
      </c>
      <c r="I259" t="str">
        <f t="shared" ref="I259:I322" si="4">TEXT(G259,"mmm")</f>
        <v>Sep</v>
      </c>
    </row>
    <row r="260" spans="1:9" x14ac:dyDescent="0.4">
      <c r="A260" s="2" t="s">
        <v>1434</v>
      </c>
      <c r="B260" s="2" t="s">
        <v>693</v>
      </c>
      <c r="C260" s="2" t="s">
        <v>1187</v>
      </c>
      <c r="D260" s="2">
        <v>2</v>
      </c>
      <c r="E260" s="2">
        <v>20000</v>
      </c>
      <c r="F260" s="2">
        <v>53177</v>
      </c>
      <c r="G260" s="12">
        <v>45149</v>
      </c>
      <c r="H260" s="2">
        <v>53177</v>
      </c>
      <c r="I260" t="str">
        <f t="shared" si="4"/>
        <v>Aug</v>
      </c>
    </row>
    <row r="261" spans="1:9" x14ac:dyDescent="0.4">
      <c r="A261" s="2" t="s">
        <v>1435</v>
      </c>
      <c r="B261" s="2" t="s">
        <v>436</v>
      </c>
      <c r="C261" s="2" t="s">
        <v>1173</v>
      </c>
      <c r="D261" s="2">
        <v>5</v>
      </c>
      <c r="E261" s="2">
        <v>15000</v>
      </c>
      <c r="F261" s="2">
        <v>22973</v>
      </c>
      <c r="G261" s="12">
        <v>45575</v>
      </c>
      <c r="H261" s="2">
        <v>22973</v>
      </c>
      <c r="I261" t="str">
        <f t="shared" si="4"/>
        <v>Oct</v>
      </c>
    </row>
    <row r="262" spans="1:9" x14ac:dyDescent="0.4">
      <c r="A262" s="2" t="s">
        <v>1436</v>
      </c>
      <c r="B262" s="2" t="s">
        <v>249</v>
      </c>
      <c r="C262" s="2" t="s">
        <v>1171</v>
      </c>
      <c r="D262" s="2">
        <v>4</v>
      </c>
      <c r="E262" s="2">
        <v>10000</v>
      </c>
      <c r="F262" s="2"/>
      <c r="G262" s="12">
        <v>44894</v>
      </c>
      <c r="H262" s="2">
        <v>0</v>
      </c>
      <c r="I262" t="str">
        <f t="shared" si="4"/>
        <v>Nov</v>
      </c>
    </row>
    <row r="263" spans="1:9" x14ac:dyDescent="0.4">
      <c r="A263" s="2" t="s">
        <v>1437</v>
      </c>
      <c r="B263" s="2" t="s">
        <v>274</v>
      </c>
      <c r="C263" s="2" t="s">
        <v>1182</v>
      </c>
      <c r="D263" s="2"/>
      <c r="E263" s="2">
        <v>15000</v>
      </c>
      <c r="F263" s="2"/>
      <c r="G263" s="12">
        <v>45129</v>
      </c>
      <c r="H263" s="2">
        <v>0</v>
      </c>
      <c r="I263" t="str">
        <f t="shared" si="4"/>
        <v>Jul</v>
      </c>
    </row>
    <row r="264" spans="1:9" x14ac:dyDescent="0.4">
      <c r="A264" s="2" t="s">
        <v>1438</v>
      </c>
      <c r="B264" s="2" t="s">
        <v>463</v>
      </c>
      <c r="C264" s="2" t="s">
        <v>1182</v>
      </c>
      <c r="D264" s="2">
        <v>1</v>
      </c>
      <c r="E264" s="2">
        <v>5000</v>
      </c>
      <c r="F264" s="2"/>
      <c r="G264" s="12">
        <v>45057</v>
      </c>
      <c r="H264" s="2">
        <v>0</v>
      </c>
      <c r="I264" t="str">
        <f t="shared" si="4"/>
        <v>May</v>
      </c>
    </row>
    <row r="265" spans="1:9" x14ac:dyDescent="0.4">
      <c r="A265" s="2" t="s">
        <v>1439</v>
      </c>
      <c r="B265" s="2" t="s">
        <v>589</v>
      </c>
      <c r="C265" s="2" t="s">
        <v>1175</v>
      </c>
      <c r="D265" s="2">
        <v>3</v>
      </c>
      <c r="E265" s="2">
        <v>15000</v>
      </c>
      <c r="F265" s="2">
        <v>62684</v>
      </c>
      <c r="G265" s="12">
        <v>45520</v>
      </c>
      <c r="H265" s="2">
        <v>62684</v>
      </c>
      <c r="I265" t="str">
        <f t="shared" si="4"/>
        <v>Aug</v>
      </c>
    </row>
    <row r="266" spans="1:9" x14ac:dyDescent="0.4">
      <c r="A266" s="2" t="s">
        <v>1440</v>
      </c>
      <c r="B266" s="2" t="s">
        <v>388</v>
      </c>
      <c r="C266" s="2" t="s">
        <v>1187</v>
      </c>
      <c r="D266" s="2"/>
      <c r="E266" s="2">
        <v>15000</v>
      </c>
      <c r="F266" s="2"/>
      <c r="G266" s="12">
        <v>45279</v>
      </c>
      <c r="H266" s="2">
        <v>0</v>
      </c>
      <c r="I266" t="str">
        <f t="shared" si="4"/>
        <v>Dec</v>
      </c>
    </row>
    <row r="267" spans="1:9" x14ac:dyDescent="0.4">
      <c r="A267" s="2" t="s">
        <v>1441</v>
      </c>
      <c r="B267" s="2" t="s">
        <v>598</v>
      </c>
      <c r="C267" s="2" t="s">
        <v>1187</v>
      </c>
      <c r="D267" s="2">
        <v>5</v>
      </c>
      <c r="E267" s="2"/>
      <c r="F267" s="2"/>
      <c r="G267" s="12">
        <v>45731</v>
      </c>
      <c r="H267" s="2">
        <v>0</v>
      </c>
      <c r="I267" t="str">
        <f t="shared" si="4"/>
        <v>Mar</v>
      </c>
    </row>
    <row r="268" spans="1:9" x14ac:dyDescent="0.4">
      <c r="A268" s="2" t="s">
        <v>1442</v>
      </c>
      <c r="B268" s="2" t="s">
        <v>740</v>
      </c>
      <c r="C268" s="2" t="s">
        <v>1180</v>
      </c>
      <c r="D268" s="2"/>
      <c r="E268" s="2">
        <v>5000</v>
      </c>
      <c r="F268" s="2">
        <v>58963</v>
      </c>
      <c r="G268" s="12">
        <v>45599</v>
      </c>
      <c r="H268" s="2">
        <v>58963</v>
      </c>
      <c r="I268" t="str">
        <f t="shared" si="4"/>
        <v>Nov</v>
      </c>
    </row>
    <row r="269" spans="1:9" x14ac:dyDescent="0.4">
      <c r="A269" s="2" t="s">
        <v>1443</v>
      </c>
      <c r="B269" s="2" t="s">
        <v>306</v>
      </c>
      <c r="C269" s="2" t="s">
        <v>1173</v>
      </c>
      <c r="D269" s="2">
        <v>2</v>
      </c>
      <c r="E269" s="2">
        <v>15000</v>
      </c>
      <c r="F269" s="2"/>
      <c r="G269" s="12">
        <v>45026</v>
      </c>
      <c r="H269" s="2">
        <v>0</v>
      </c>
      <c r="I269" t="str">
        <f t="shared" si="4"/>
        <v>Apr</v>
      </c>
    </row>
    <row r="270" spans="1:9" x14ac:dyDescent="0.4">
      <c r="A270" s="2" t="s">
        <v>1444</v>
      </c>
      <c r="B270" s="2" t="s">
        <v>53</v>
      </c>
      <c r="C270" s="2" t="s">
        <v>1180</v>
      </c>
      <c r="D270" s="2">
        <v>4</v>
      </c>
      <c r="E270" s="2">
        <v>10000</v>
      </c>
      <c r="F270" s="2"/>
      <c r="G270" s="12">
        <v>45066</v>
      </c>
      <c r="H270" s="2">
        <v>0</v>
      </c>
      <c r="I270" t="str">
        <f t="shared" si="4"/>
        <v>May</v>
      </c>
    </row>
    <row r="271" spans="1:9" x14ac:dyDescent="0.4">
      <c r="A271" s="2" t="s">
        <v>1445</v>
      </c>
      <c r="B271" s="2" t="s">
        <v>740</v>
      </c>
      <c r="C271" s="2" t="s">
        <v>1180</v>
      </c>
      <c r="D271" s="2">
        <v>3</v>
      </c>
      <c r="E271" s="2">
        <v>15000</v>
      </c>
      <c r="F271" s="2">
        <v>21142</v>
      </c>
      <c r="G271" s="12">
        <v>44922</v>
      </c>
      <c r="H271" s="2">
        <v>21142</v>
      </c>
      <c r="I271" t="str">
        <f t="shared" si="4"/>
        <v>Dec</v>
      </c>
    </row>
    <row r="272" spans="1:9" x14ac:dyDescent="0.4">
      <c r="A272" s="2" t="s">
        <v>1446</v>
      </c>
      <c r="B272" s="2" t="s">
        <v>652</v>
      </c>
      <c r="C272" s="2" t="s">
        <v>1171</v>
      </c>
      <c r="D272" s="2">
        <v>2</v>
      </c>
      <c r="E272" s="2"/>
      <c r="F272" s="2">
        <v>51076</v>
      </c>
      <c r="G272" s="12">
        <v>45540</v>
      </c>
      <c r="H272" s="2">
        <v>51076</v>
      </c>
      <c r="I272" t="str">
        <f t="shared" si="4"/>
        <v>Sep</v>
      </c>
    </row>
    <row r="273" spans="1:9" x14ac:dyDescent="0.4">
      <c r="A273" s="2" t="s">
        <v>1447</v>
      </c>
      <c r="B273" s="2" t="s">
        <v>374</v>
      </c>
      <c r="C273" s="2" t="s">
        <v>1187</v>
      </c>
      <c r="D273" s="2">
        <v>2</v>
      </c>
      <c r="E273" s="2">
        <v>5000</v>
      </c>
      <c r="F273" s="2"/>
      <c r="G273" s="12">
        <v>44907</v>
      </c>
      <c r="H273" s="2">
        <v>0</v>
      </c>
      <c r="I273" t="str">
        <f t="shared" si="4"/>
        <v>Dec</v>
      </c>
    </row>
    <row r="274" spans="1:9" x14ac:dyDescent="0.4">
      <c r="A274" s="2" t="s">
        <v>1448</v>
      </c>
      <c r="B274" s="2" t="s">
        <v>1150</v>
      </c>
      <c r="C274" s="2" t="s">
        <v>1171</v>
      </c>
      <c r="D274" s="2">
        <v>2</v>
      </c>
      <c r="E274" s="2">
        <v>10000</v>
      </c>
      <c r="F274" s="2">
        <v>37477</v>
      </c>
      <c r="G274" s="12">
        <v>45941</v>
      </c>
      <c r="H274" s="2">
        <v>37477</v>
      </c>
      <c r="I274" t="str">
        <f t="shared" si="4"/>
        <v>Oct</v>
      </c>
    </row>
    <row r="275" spans="1:9" x14ac:dyDescent="0.4">
      <c r="A275" s="2" t="s">
        <v>1449</v>
      </c>
      <c r="B275" s="2" t="s">
        <v>876</v>
      </c>
      <c r="C275" s="2" t="s">
        <v>1175</v>
      </c>
      <c r="D275" s="2">
        <v>5</v>
      </c>
      <c r="E275" s="2"/>
      <c r="F275" s="2"/>
      <c r="G275" s="12">
        <v>45129</v>
      </c>
      <c r="H275" s="2">
        <v>0</v>
      </c>
      <c r="I275" t="str">
        <f t="shared" si="4"/>
        <v>Jul</v>
      </c>
    </row>
    <row r="276" spans="1:9" x14ac:dyDescent="0.4">
      <c r="A276" s="2" t="s">
        <v>1450</v>
      </c>
      <c r="B276" s="2" t="s">
        <v>255</v>
      </c>
      <c r="C276" s="2" t="s">
        <v>1182</v>
      </c>
      <c r="D276" s="2">
        <v>5</v>
      </c>
      <c r="E276" s="2">
        <v>15000</v>
      </c>
      <c r="F276" s="2">
        <v>37527</v>
      </c>
      <c r="G276" s="12">
        <v>44983</v>
      </c>
      <c r="H276" s="2">
        <v>37527</v>
      </c>
      <c r="I276" t="str">
        <f t="shared" si="4"/>
        <v>Feb</v>
      </c>
    </row>
    <row r="277" spans="1:9" x14ac:dyDescent="0.4">
      <c r="A277" s="2" t="s">
        <v>1451</v>
      </c>
      <c r="B277" s="2" t="s">
        <v>891</v>
      </c>
      <c r="C277" s="2" t="s">
        <v>1180</v>
      </c>
      <c r="D277" s="2">
        <v>5</v>
      </c>
      <c r="E277" s="2"/>
      <c r="F277" s="2"/>
      <c r="G277" s="12">
        <v>45075</v>
      </c>
      <c r="H277" s="2">
        <v>0</v>
      </c>
      <c r="I277" t="str">
        <f t="shared" si="4"/>
        <v>May</v>
      </c>
    </row>
    <row r="278" spans="1:9" x14ac:dyDescent="0.4">
      <c r="A278" s="2" t="s">
        <v>1452</v>
      </c>
      <c r="B278" s="2" t="s">
        <v>582</v>
      </c>
      <c r="C278" s="2" t="s">
        <v>1180</v>
      </c>
      <c r="D278" s="2">
        <v>1</v>
      </c>
      <c r="E278" s="2">
        <v>5000</v>
      </c>
      <c r="F278" s="2">
        <v>91298</v>
      </c>
      <c r="G278" s="12">
        <v>45669</v>
      </c>
      <c r="H278" s="2">
        <v>91298</v>
      </c>
      <c r="I278" t="str">
        <f t="shared" si="4"/>
        <v>Jan</v>
      </c>
    </row>
    <row r="279" spans="1:9" x14ac:dyDescent="0.4">
      <c r="A279" s="2" t="s">
        <v>1453</v>
      </c>
      <c r="B279" s="2" t="s">
        <v>423</v>
      </c>
      <c r="C279" s="2" t="s">
        <v>1171</v>
      </c>
      <c r="D279" s="2">
        <v>3</v>
      </c>
      <c r="E279" s="2">
        <v>20000</v>
      </c>
      <c r="F279" s="2"/>
      <c r="G279" s="12">
        <v>45692</v>
      </c>
      <c r="H279" s="2">
        <v>0</v>
      </c>
      <c r="I279" t="str">
        <f t="shared" si="4"/>
        <v>Feb</v>
      </c>
    </row>
    <row r="280" spans="1:9" x14ac:dyDescent="0.4">
      <c r="A280" s="2" t="s">
        <v>1454</v>
      </c>
      <c r="B280" s="2" t="s">
        <v>108</v>
      </c>
      <c r="C280" s="2" t="s">
        <v>1187</v>
      </c>
      <c r="D280" s="2">
        <v>2</v>
      </c>
      <c r="E280" s="2"/>
      <c r="F280" s="2">
        <v>56347</v>
      </c>
      <c r="G280" s="12">
        <v>45472</v>
      </c>
      <c r="H280" s="2">
        <v>56347</v>
      </c>
      <c r="I280" t="str">
        <f t="shared" si="4"/>
        <v>Jun</v>
      </c>
    </row>
    <row r="281" spans="1:9" x14ac:dyDescent="0.4">
      <c r="A281" s="2" t="s">
        <v>1455</v>
      </c>
      <c r="B281" s="2" t="s">
        <v>1118</v>
      </c>
      <c r="C281" s="2" t="s">
        <v>1182</v>
      </c>
      <c r="D281" s="2">
        <v>5</v>
      </c>
      <c r="E281" s="2"/>
      <c r="F281" s="2"/>
      <c r="G281" s="12">
        <v>45526</v>
      </c>
      <c r="H281" s="2">
        <v>0</v>
      </c>
      <c r="I281" t="str">
        <f t="shared" si="4"/>
        <v>Aug</v>
      </c>
    </row>
    <row r="282" spans="1:9" x14ac:dyDescent="0.4">
      <c r="A282" s="2" t="s">
        <v>1456</v>
      </c>
      <c r="B282" s="2" t="s">
        <v>932</v>
      </c>
      <c r="C282" s="2" t="s">
        <v>1180</v>
      </c>
      <c r="D282" s="2">
        <v>5</v>
      </c>
      <c r="E282" s="2">
        <v>15000</v>
      </c>
      <c r="F282" s="2">
        <v>36370</v>
      </c>
      <c r="G282" s="12">
        <v>45420</v>
      </c>
      <c r="H282" s="2">
        <v>36370</v>
      </c>
      <c r="I282" t="str">
        <f t="shared" si="4"/>
        <v>May</v>
      </c>
    </row>
    <row r="283" spans="1:9" x14ac:dyDescent="0.4">
      <c r="A283" s="2" t="s">
        <v>1457</v>
      </c>
      <c r="B283" s="2" t="s">
        <v>183</v>
      </c>
      <c r="C283" s="2" t="s">
        <v>1171</v>
      </c>
      <c r="D283" s="2">
        <v>1</v>
      </c>
      <c r="E283" s="2">
        <v>15000</v>
      </c>
      <c r="F283" s="2"/>
      <c r="G283" s="12">
        <v>45067</v>
      </c>
      <c r="H283" s="2">
        <v>0</v>
      </c>
      <c r="I283" t="str">
        <f t="shared" si="4"/>
        <v>May</v>
      </c>
    </row>
    <row r="284" spans="1:9" x14ac:dyDescent="0.4">
      <c r="A284" s="2" t="s">
        <v>1458</v>
      </c>
      <c r="B284" s="2" t="s">
        <v>1144</v>
      </c>
      <c r="C284" s="2" t="s">
        <v>1171</v>
      </c>
      <c r="D284" s="2">
        <v>4</v>
      </c>
      <c r="E284" s="2">
        <v>10000</v>
      </c>
      <c r="F284" s="2">
        <v>36599</v>
      </c>
      <c r="G284" s="12">
        <v>45494</v>
      </c>
      <c r="H284" s="2">
        <v>36599</v>
      </c>
      <c r="I284" t="str">
        <f t="shared" si="4"/>
        <v>Jul</v>
      </c>
    </row>
    <row r="285" spans="1:9" x14ac:dyDescent="0.4">
      <c r="A285" s="2" t="s">
        <v>1459</v>
      </c>
      <c r="B285" s="2" t="s">
        <v>102</v>
      </c>
      <c r="C285" s="2" t="s">
        <v>1173</v>
      </c>
      <c r="D285" s="2">
        <v>1</v>
      </c>
      <c r="E285" s="2">
        <v>15000</v>
      </c>
      <c r="F285" s="2"/>
      <c r="G285" s="12">
        <v>45952</v>
      </c>
      <c r="H285" s="2">
        <v>0</v>
      </c>
      <c r="I285" t="str">
        <f t="shared" si="4"/>
        <v>Oct</v>
      </c>
    </row>
    <row r="286" spans="1:9" x14ac:dyDescent="0.4">
      <c r="A286" s="2" t="s">
        <v>1460</v>
      </c>
      <c r="B286" s="2" t="s">
        <v>55</v>
      </c>
      <c r="C286" s="2" t="s">
        <v>1182</v>
      </c>
      <c r="D286" s="2">
        <v>5</v>
      </c>
      <c r="E286" s="2">
        <v>15000</v>
      </c>
      <c r="F286" s="2"/>
      <c r="G286" s="12">
        <v>45735</v>
      </c>
      <c r="H286" s="2">
        <v>0</v>
      </c>
      <c r="I286" t="str">
        <f t="shared" si="4"/>
        <v>Mar</v>
      </c>
    </row>
    <row r="287" spans="1:9" x14ac:dyDescent="0.4">
      <c r="A287" s="2" t="s">
        <v>1461</v>
      </c>
      <c r="B287" s="2" t="s">
        <v>736</v>
      </c>
      <c r="C287" s="2" t="s">
        <v>1171</v>
      </c>
      <c r="D287" s="2">
        <v>2</v>
      </c>
      <c r="E287" s="2">
        <v>5000</v>
      </c>
      <c r="F287" s="2">
        <v>52329</v>
      </c>
      <c r="G287" s="12">
        <v>45245</v>
      </c>
      <c r="H287" s="2">
        <v>52329</v>
      </c>
      <c r="I287" t="str">
        <f t="shared" si="4"/>
        <v>Nov</v>
      </c>
    </row>
    <row r="288" spans="1:9" x14ac:dyDescent="0.4">
      <c r="A288" s="2" t="s">
        <v>1462</v>
      </c>
      <c r="B288" s="2" t="s">
        <v>404</v>
      </c>
      <c r="C288" s="2" t="s">
        <v>1173</v>
      </c>
      <c r="D288" s="2">
        <v>5</v>
      </c>
      <c r="E288" s="2">
        <v>5000</v>
      </c>
      <c r="F288" s="2">
        <v>22299</v>
      </c>
      <c r="G288" s="12">
        <v>45325</v>
      </c>
      <c r="H288" s="2">
        <v>22299</v>
      </c>
      <c r="I288" t="str">
        <f t="shared" si="4"/>
        <v>Feb</v>
      </c>
    </row>
    <row r="289" spans="1:9" x14ac:dyDescent="0.4">
      <c r="A289" s="2" t="s">
        <v>1463</v>
      </c>
      <c r="B289" s="2" t="s">
        <v>913</v>
      </c>
      <c r="C289" s="2" t="s">
        <v>1187</v>
      </c>
      <c r="D289" s="2">
        <v>2</v>
      </c>
      <c r="E289" s="2">
        <v>20000</v>
      </c>
      <c r="F289" s="2">
        <v>79498</v>
      </c>
      <c r="G289" s="12">
        <v>45054</v>
      </c>
      <c r="H289" s="2">
        <v>79498</v>
      </c>
      <c r="I289" t="str">
        <f t="shared" si="4"/>
        <v>May</v>
      </c>
    </row>
    <row r="290" spans="1:9" x14ac:dyDescent="0.4">
      <c r="A290" s="2" t="s">
        <v>1464</v>
      </c>
      <c r="B290" s="2" t="s">
        <v>1100</v>
      </c>
      <c r="C290" s="2" t="s">
        <v>1171</v>
      </c>
      <c r="D290" s="2">
        <v>2</v>
      </c>
      <c r="E290" s="2">
        <v>20000</v>
      </c>
      <c r="F290" s="2"/>
      <c r="G290" s="12">
        <v>45393</v>
      </c>
      <c r="H290" s="2">
        <v>0</v>
      </c>
      <c r="I290" t="str">
        <f t="shared" si="4"/>
        <v>Apr</v>
      </c>
    </row>
    <row r="291" spans="1:9" x14ac:dyDescent="0.4">
      <c r="A291" s="2" t="s">
        <v>1465</v>
      </c>
      <c r="B291" s="2" t="s">
        <v>338</v>
      </c>
      <c r="C291" s="2" t="s">
        <v>1173</v>
      </c>
      <c r="D291" s="2">
        <v>2</v>
      </c>
      <c r="E291" s="2">
        <v>5000</v>
      </c>
      <c r="F291" s="2"/>
      <c r="G291" s="12">
        <v>45392</v>
      </c>
      <c r="H291" s="2">
        <v>0</v>
      </c>
      <c r="I291" t="str">
        <f t="shared" si="4"/>
        <v>Apr</v>
      </c>
    </row>
    <row r="292" spans="1:9" x14ac:dyDescent="0.4">
      <c r="A292" s="2" t="s">
        <v>1466</v>
      </c>
      <c r="B292" s="2" t="s">
        <v>243</v>
      </c>
      <c r="C292" s="2" t="s">
        <v>1173</v>
      </c>
      <c r="D292" s="2">
        <v>2</v>
      </c>
      <c r="E292" s="2">
        <v>20000</v>
      </c>
      <c r="F292" s="2"/>
      <c r="G292" s="12">
        <v>45788</v>
      </c>
      <c r="H292" s="2">
        <v>0</v>
      </c>
      <c r="I292" t="str">
        <f t="shared" si="4"/>
        <v>May</v>
      </c>
    </row>
    <row r="293" spans="1:9" x14ac:dyDescent="0.4">
      <c r="A293" s="2" t="s">
        <v>1467</v>
      </c>
      <c r="B293" s="2" t="s">
        <v>815</v>
      </c>
      <c r="C293" s="2" t="s">
        <v>1182</v>
      </c>
      <c r="D293" s="2">
        <v>2</v>
      </c>
      <c r="E293" s="2">
        <v>10000</v>
      </c>
      <c r="F293" s="2">
        <v>6807</v>
      </c>
      <c r="G293" s="12">
        <v>45815</v>
      </c>
      <c r="H293" s="2">
        <v>6807</v>
      </c>
      <c r="I293" t="str">
        <f t="shared" si="4"/>
        <v>Jun</v>
      </c>
    </row>
    <row r="294" spans="1:9" x14ac:dyDescent="0.4">
      <c r="A294" s="2" t="s">
        <v>1468</v>
      </c>
      <c r="B294" s="2" t="s">
        <v>135</v>
      </c>
      <c r="C294" s="2" t="s">
        <v>1180</v>
      </c>
      <c r="D294" s="2">
        <v>5</v>
      </c>
      <c r="E294" s="2">
        <v>15000</v>
      </c>
      <c r="F294" s="2"/>
      <c r="G294" s="12">
        <v>45827</v>
      </c>
      <c r="H294" s="2">
        <v>0</v>
      </c>
      <c r="I294" t="str">
        <f t="shared" si="4"/>
        <v>Jun</v>
      </c>
    </row>
    <row r="295" spans="1:9" x14ac:dyDescent="0.4">
      <c r="A295" s="2" t="s">
        <v>1469</v>
      </c>
      <c r="B295" s="2" t="s">
        <v>462</v>
      </c>
      <c r="C295" s="2" t="s">
        <v>1173</v>
      </c>
      <c r="D295" s="2">
        <v>2</v>
      </c>
      <c r="E295" s="2">
        <v>5000</v>
      </c>
      <c r="F295" s="2">
        <v>12925</v>
      </c>
      <c r="G295" s="12">
        <v>45037</v>
      </c>
      <c r="H295" s="2">
        <v>12925</v>
      </c>
      <c r="I295" t="str">
        <f t="shared" si="4"/>
        <v>Apr</v>
      </c>
    </row>
    <row r="296" spans="1:9" x14ac:dyDescent="0.4">
      <c r="A296" s="2" t="s">
        <v>1470</v>
      </c>
      <c r="B296" s="2" t="s">
        <v>303</v>
      </c>
      <c r="C296" s="2" t="s">
        <v>1171</v>
      </c>
      <c r="D296" s="2">
        <v>2</v>
      </c>
      <c r="E296" s="2">
        <v>20000</v>
      </c>
      <c r="F296" s="2">
        <v>71402</v>
      </c>
      <c r="G296" s="12">
        <v>44940</v>
      </c>
      <c r="H296" s="2">
        <v>71402</v>
      </c>
      <c r="I296" t="str">
        <f t="shared" si="4"/>
        <v>Jan</v>
      </c>
    </row>
    <row r="297" spans="1:9" x14ac:dyDescent="0.4">
      <c r="A297" s="2" t="s">
        <v>1471</v>
      </c>
      <c r="B297" s="2" t="s">
        <v>357</v>
      </c>
      <c r="C297" s="2" t="s">
        <v>1175</v>
      </c>
      <c r="D297" s="2">
        <v>3</v>
      </c>
      <c r="E297" s="2">
        <v>5000</v>
      </c>
      <c r="F297" s="2">
        <v>87388</v>
      </c>
      <c r="G297" s="12">
        <v>44984</v>
      </c>
      <c r="H297" s="2">
        <v>87388</v>
      </c>
      <c r="I297" t="str">
        <f t="shared" si="4"/>
        <v>Feb</v>
      </c>
    </row>
    <row r="298" spans="1:9" x14ac:dyDescent="0.4">
      <c r="A298" s="2" t="s">
        <v>1472</v>
      </c>
      <c r="B298" s="2" t="s">
        <v>719</v>
      </c>
      <c r="C298" s="2" t="s">
        <v>1187</v>
      </c>
      <c r="D298" s="2">
        <v>4</v>
      </c>
      <c r="E298" s="2">
        <v>15000</v>
      </c>
      <c r="F298" s="2">
        <v>60518</v>
      </c>
      <c r="G298" s="12">
        <v>45421</v>
      </c>
      <c r="H298" s="2">
        <v>60518</v>
      </c>
      <c r="I298" t="str">
        <f t="shared" si="4"/>
        <v>May</v>
      </c>
    </row>
    <row r="299" spans="1:9" x14ac:dyDescent="0.4">
      <c r="A299" s="2" t="s">
        <v>1473</v>
      </c>
      <c r="B299" s="2" t="s">
        <v>792</v>
      </c>
      <c r="C299" s="2" t="s">
        <v>1171</v>
      </c>
      <c r="D299" s="2">
        <v>1</v>
      </c>
      <c r="E299" s="2"/>
      <c r="F299" s="2"/>
      <c r="G299" s="12">
        <v>45567</v>
      </c>
      <c r="H299" s="2">
        <v>0</v>
      </c>
      <c r="I299" t="str">
        <f t="shared" si="4"/>
        <v>Oct</v>
      </c>
    </row>
    <row r="300" spans="1:9" x14ac:dyDescent="0.4">
      <c r="A300" s="2" t="s">
        <v>1474</v>
      </c>
      <c r="B300" s="2" t="s">
        <v>701</v>
      </c>
      <c r="C300" s="2" t="s">
        <v>1171</v>
      </c>
      <c r="D300" s="2">
        <v>1</v>
      </c>
      <c r="E300" s="2">
        <v>15000</v>
      </c>
      <c r="F300" s="2"/>
      <c r="G300" s="12">
        <v>45505</v>
      </c>
      <c r="H300" s="2">
        <v>0</v>
      </c>
      <c r="I300" t="str">
        <f t="shared" si="4"/>
        <v>Aug</v>
      </c>
    </row>
    <row r="301" spans="1:9" x14ac:dyDescent="0.4">
      <c r="A301" s="2" t="s">
        <v>1475</v>
      </c>
      <c r="B301" s="2" t="s">
        <v>147</v>
      </c>
      <c r="C301" s="2" t="s">
        <v>1187</v>
      </c>
      <c r="D301" s="2">
        <v>5</v>
      </c>
      <c r="E301" s="2">
        <v>5000</v>
      </c>
      <c r="F301" s="2"/>
      <c r="G301" s="12">
        <v>45849</v>
      </c>
      <c r="H301" s="2">
        <v>0</v>
      </c>
      <c r="I301" t="str">
        <f t="shared" si="4"/>
        <v>Jul</v>
      </c>
    </row>
    <row r="302" spans="1:9" x14ac:dyDescent="0.4">
      <c r="A302" s="2" t="s">
        <v>1476</v>
      </c>
      <c r="B302" s="2" t="s">
        <v>1028</v>
      </c>
      <c r="C302" s="2" t="s">
        <v>1187</v>
      </c>
      <c r="D302" s="2">
        <v>2</v>
      </c>
      <c r="E302" s="2"/>
      <c r="F302" s="2"/>
      <c r="G302" s="12">
        <v>45568</v>
      </c>
      <c r="H302" s="2">
        <v>0</v>
      </c>
      <c r="I302" t="str">
        <f t="shared" si="4"/>
        <v>Oct</v>
      </c>
    </row>
    <row r="303" spans="1:9" x14ac:dyDescent="0.4">
      <c r="A303" s="2" t="s">
        <v>1477</v>
      </c>
      <c r="B303" s="2" t="s">
        <v>611</v>
      </c>
      <c r="C303" s="2" t="s">
        <v>1173</v>
      </c>
      <c r="D303" s="2">
        <v>2</v>
      </c>
      <c r="E303" s="2">
        <v>20000</v>
      </c>
      <c r="F303" s="2">
        <v>25365</v>
      </c>
      <c r="G303" s="12">
        <v>45546</v>
      </c>
      <c r="H303" s="2">
        <v>25365</v>
      </c>
      <c r="I303" t="str">
        <f t="shared" si="4"/>
        <v>Sep</v>
      </c>
    </row>
    <row r="304" spans="1:9" x14ac:dyDescent="0.4">
      <c r="A304" s="2" t="s">
        <v>1478</v>
      </c>
      <c r="B304" s="2" t="s">
        <v>143</v>
      </c>
      <c r="C304" s="2" t="s">
        <v>1171</v>
      </c>
      <c r="D304" s="2">
        <v>2</v>
      </c>
      <c r="E304" s="2"/>
      <c r="F304" s="2"/>
      <c r="G304" s="12">
        <v>45319</v>
      </c>
      <c r="H304" s="2">
        <v>0</v>
      </c>
      <c r="I304" t="str">
        <f t="shared" si="4"/>
        <v>Jan</v>
      </c>
    </row>
    <row r="305" spans="1:9" x14ac:dyDescent="0.4">
      <c r="A305" s="2" t="s">
        <v>1479</v>
      </c>
      <c r="B305" s="2" t="s">
        <v>22</v>
      </c>
      <c r="C305" s="2" t="s">
        <v>1173</v>
      </c>
      <c r="D305" s="2">
        <v>5</v>
      </c>
      <c r="E305" s="2">
        <v>15000</v>
      </c>
      <c r="F305" s="2">
        <v>45654</v>
      </c>
      <c r="G305" s="12">
        <v>45611</v>
      </c>
      <c r="H305" s="2">
        <v>45654</v>
      </c>
      <c r="I305" t="str">
        <f t="shared" si="4"/>
        <v>Nov</v>
      </c>
    </row>
    <row r="306" spans="1:9" x14ac:dyDescent="0.4">
      <c r="A306" s="2" t="s">
        <v>1480</v>
      </c>
      <c r="B306" s="2" t="s">
        <v>254</v>
      </c>
      <c r="C306" s="2" t="s">
        <v>1182</v>
      </c>
      <c r="D306" s="2"/>
      <c r="E306" s="2">
        <v>5000</v>
      </c>
      <c r="F306" s="2"/>
      <c r="G306" s="12">
        <v>45957</v>
      </c>
      <c r="H306" s="2">
        <v>0</v>
      </c>
      <c r="I306" t="str">
        <f t="shared" si="4"/>
        <v>Oct</v>
      </c>
    </row>
    <row r="307" spans="1:9" x14ac:dyDescent="0.4">
      <c r="A307" s="2" t="s">
        <v>1481</v>
      </c>
      <c r="B307" s="2" t="s">
        <v>477</v>
      </c>
      <c r="C307" s="2" t="s">
        <v>1173</v>
      </c>
      <c r="D307" s="2">
        <v>2</v>
      </c>
      <c r="E307" s="2">
        <v>15000</v>
      </c>
      <c r="F307" s="2"/>
      <c r="G307" s="12">
        <v>45079</v>
      </c>
      <c r="H307" s="2">
        <v>0</v>
      </c>
      <c r="I307" t="str">
        <f t="shared" si="4"/>
        <v>Jun</v>
      </c>
    </row>
    <row r="308" spans="1:9" x14ac:dyDescent="0.4">
      <c r="A308" s="2" t="s">
        <v>1482</v>
      </c>
      <c r="B308" s="2" t="s">
        <v>811</v>
      </c>
      <c r="C308" s="2" t="s">
        <v>1182</v>
      </c>
      <c r="D308" s="2">
        <v>4</v>
      </c>
      <c r="E308" s="2">
        <v>20000</v>
      </c>
      <c r="F308" s="2"/>
      <c r="G308" s="12">
        <v>45154</v>
      </c>
      <c r="H308" s="2">
        <v>0</v>
      </c>
      <c r="I308" t="str">
        <f t="shared" si="4"/>
        <v>Aug</v>
      </c>
    </row>
    <row r="309" spans="1:9" x14ac:dyDescent="0.4">
      <c r="A309" s="2" t="s">
        <v>1483</v>
      </c>
      <c r="B309" s="2" t="s">
        <v>126</v>
      </c>
      <c r="C309" s="2" t="s">
        <v>1180</v>
      </c>
      <c r="D309" s="2">
        <v>3</v>
      </c>
      <c r="E309" s="2">
        <v>5000</v>
      </c>
      <c r="F309" s="2"/>
      <c r="G309" s="12">
        <v>45785</v>
      </c>
      <c r="H309" s="2">
        <v>0</v>
      </c>
      <c r="I309" t="str">
        <f t="shared" si="4"/>
        <v>May</v>
      </c>
    </row>
    <row r="310" spans="1:9" x14ac:dyDescent="0.4">
      <c r="A310" s="2" t="s">
        <v>1484</v>
      </c>
      <c r="B310" s="2" t="s">
        <v>614</v>
      </c>
      <c r="C310" s="2" t="s">
        <v>1175</v>
      </c>
      <c r="D310" s="2">
        <v>1</v>
      </c>
      <c r="E310" s="2">
        <v>15000</v>
      </c>
      <c r="F310" s="2"/>
      <c r="G310" s="12">
        <v>45661</v>
      </c>
      <c r="H310" s="2">
        <v>0</v>
      </c>
      <c r="I310" t="str">
        <f t="shared" si="4"/>
        <v>Jan</v>
      </c>
    </row>
    <row r="311" spans="1:9" x14ac:dyDescent="0.4">
      <c r="A311" s="2" t="s">
        <v>1485</v>
      </c>
      <c r="B311" s="2" t="s">
        <v>847</v>
      </c>
      <c r="C311" s="2" t="s">
        <v>1171</v>
      </c>
      <c r="D311" s="2">
        <v>2</v>
      </c>
      <c r="E311" s="2">
        <v>20000</v>
      </c>
      <c r="F311" s="2"/>
      <c r="G311" s="12">
        <v>45000</v>
      </c>
      <c r="H311" s="2">
        <v>0</v>
      </c>
      <c r="I311" t="str">
        <f t="shared" si="4"/>
        <v>Mar</v>
      </c>
    </row>
    <row r="312" spans="1:9" x14ac:dyDescent="0.4">
      <c r="A312" s="2" t="s">
        <v>1486</v>
      </c>
      <c r="B312" s="2" t="s">
        <v>256</v>
      </c>
      <c r="C312" s="2" t="s">
        <v>1182</v>
      </c>
      <c r="D312" s="2"/>
      <c r="E312" s="2">
        <v>10000</v>
      </c>
      <c r="F312" s="2"/>
      <c r="G312" s="12">
        <v>45106</v>
      </c>
      <c r="H312" s="2">
        <v>0</v>
      </c>
      <c r="I312" t="str">
        <f t="shared" si="4"/>
        <v>Jun</v>
      </c>
    </row>
    <row r="313" spans="1:9" x14ac:dyDescent="0.4">
      <c r="A313" s="2" t="s">
        <v>1487</v>
      </c>
      <c r="B313" s="2" t="s">
        <v>286</v>
      </c>
      <c r="C313" s="2" t="s">
        <v>1175</v>
      </c>
      <c r="D313" s="2"/>
      <c r="E313" s="2"/>
      <c r="F313" s="2"/>
      <c r="G313" s="12">
        <v>44882</v>
      </c>
      <c r="H313" s="2">
        <v>0</v>
      </c>
      <c r="I313" t="str">
        <f t="shared" si="4"/>
        <v>Nov</v>
      </c>
    </row>
    <row r="314" spans="1:9" x14ac:dyDescent="0.4">
      <c r="A314" s="2" t="s">
        <v>1488</v>
      </c>
      <c r="B314" s="2" t="s">
        <v>163</v>
      </c>
      <c r="C314" s="2" t="s">
        <v>1187</v>
      </c>
      <c r="D314" s="2">
        <v>2</v>
      </c>
      <c r="E314" s="2">
        <v>15000</v>
      </c>
      <c r="F314" s="2">
        <v>26473</v>
      </c>
      <c r="G314" s="12">
        <v>45792</v>
      </c>
      <c r="H314" s="2">
        <v>26473</v>
      </c>
      <c r="I314" t="str">
        <f t="shared" si="4"/>
        <v>May</v>
      </c>
    </row>
    <row r="315" spans="1:9" x14ac:dyDescent="0.4">
      <c r="A315" s="2" t="s">
        <v>1489</v>
      </c>
      <c r="B315" s="2" t="s">
        <v>801</v>
      </c>
      <c r="C315" s="2" t="s">
        <v>1180</v>
      </c>
      <c r="D315" s="2">
        <v>5</v>
      </c>
      <c r="E315" s="2">
        <v>10000</v>
      </c>
      <c r="F315" s="2">
        <v>50443</v>
      </c>
      <c r="G315" s="12">
        <v>45791</v>
      </c>
      <c r="H315" s="2">
        <v>50443</v>
      </c>
      <c r="I315" t="str">
        <f t="shared" si="4"/>
        <v>May</v>
      </c>
    </row>
    <row r="316" spans="1:9" x14ac:dyDescent="0.4">
      <c r="A316" s="2" t="s">
        <v>1490</v>
      </c>
      <c r="B316" s="2" t="s">
        <v>1106</v>
      </c>
      <c r="C316" s="2" t="s">
        <v>1173</v>
      </c>
      <c r="D316" s="2">
        <v>1</v>
      </c>
      <c r="E316" s="2">
        <v>5000</v>
      </c>
      <c r="F316" s="2">
        <v>26884</v>
      </c>
      <c r="G316" s="12">
        <v>45444</v>
      </c>
      <c r="H316" s="2">
        <v>26884</v>
      </c>
      <c r="I316" t="str">
        <f t="shared" si="4"/>
        <v>Jun</v>
      </c>
    </row>
    <row r="317" spans="1:9" x14ac:dyDescent="0.4">
      <c r="A317" s="2" t="s">
        <v>1491</v>
      </c>
      <c r="B317" s="2" t="s">
        <v>278</v>
      </c>
      <c r="C317" s="2" t="s">
        <v>1175</v>
      </c>
      <c r="D317" s="2">
        <v>5</v>
      </c>
      <c r="E317" s="2">
        <v>15000</v>
      </c>
      <c r="F317" s="2">
        <v>21637</v>
      </c>
      <c r="G317" s="12">
        <v>45916</v>
      </c>
      <c r="H317" s="2">
        <v>21637</v>
      </c>
      <c r="I317" t="str">
        <f t="shared" si="4"/>
        <v>Sep</v>
      </c>
    </row>
    <row r="318" spans="1:9" x14ac:dyDescent="0.4">
      <c r="A318" s="2" t="s">
        <v>1492</v>
      </c>
      <c r="B318" s="2" t="s">
        <v>305</v>
      </c>
      <c r="C318" s="2" t="s">
        <v>1182</v>
      </c>
      <c r="D318" s="2">
        <v>3</v>
      </c>
      <c r="E318" s="2">
        <v>20000</v>
      </c>
      <c r="F318" s="2"/>
      <c r="G318" s="12">
        <v>45878</v>
      </c>
      <c r="H318" s="2">
        <v>0</v>
      </c>
      <c r="I318" t="str">
        <f t="shared" si="4"/>
        <v>Aug</v>
      </c>
    </row>
    <row r="319" spans="1:9" x14ac:dyDescent="0.4">
      <c r="A319" s="2" t="s">
        <v>1493</v>
      </c>
      <c r="B319" s="2" t="s">
        <v>891</v>
      </c>
      <c r="C319" s="2" t="s">
        <v>1171</v>
      </c>
      <c r="D319" s="2"/>
      <c r="E319" s="2"/>
      <c r="F319" s="2">
        <v>48910</v>
      </c>
      <c r="G319" s="12">
        <v>45574</v>
      </c>
      <c r="H319" s="2">
        <v>48910</v>
      </c>
      <c r="I319" t="str">
        <f t="shared" si="4"/>
        <v>Oct</v>
      </c>
    </row>
    <row r="320" spans="1:9" x14ac:dyDescent="0.4">
      <c r="A320" s="2" t="s">
        <v>1494</v>
      </c>
      <c r="B320" s="2" t="s">
        <v>163</v>
      </c>
      <c r="C320" s="2" t="s">
        <v>1180</v>
      </c>
      <c r="D320" s="2"/>
      <c r="E320" s="2">
        <v>20000</v>
      </c>
      <c r="F320" s="2"/>
      <c r="G320" s="12">
        <v>45459</v>
      </c>
      <c r="H320" s="2">
        <v>0</v>
      </c>
      <c r="I320" t="str">
        <f t="shared" si="4"/>
        <v>Jun</v>
      </c>
    </row>
    <row r="321" spans="1:9" x14ac:dyDescent="0.4">
      <c r="A321" s="2" t="s">
        <v>1495</v>
      </c>
      <c r="B321" s="2" t="s">
        <v>286</v>
      </c>
      <c r="C321" s="2" t="s">
        <v>1187</v>
      </c>
      <c r="D321" s="2">
        <v>4</v>
      </c>
      <c r="E321" s="2">
        <v>5000</v>
      </c>
      <c r="F321" s="2"/>
      <c r="G321" s="12">
        <v>45367</v>
      </c>
      <c r="H321" s="2">
        <v>0</v>
      </c>
      <c r="I321" t="str">
        <f t="shared" si="4"/>
        <v>Mar</v>
      </c>
    </row>
    <row r="322" spans="1:9" x14ac:dyDescent="0.4">
      <c r="A322" s="2" t="s">
        <v>1496</v>
      </c>
      <c r="B322" s="2" t="s">
        <v>248</v>
      </c>
      <c r="C322" s="2" t="s">
        <v>1187</v>
      </c>
      <c r="D322" s="2">
        <v>3</v>
      </c>
      <c r="E322" s="2">
        <v>20000</v>
      </c>
      <c r="F322" s="2">
        <v>70031</v>
      </c>
      <c r="G322" s="12">
        <v>45551</v>
      </c>
      <c r="H322" s="2">
        <v>70031</v>
      </c>
      <c r="I322" t="str">
        <f t="shared" si="4"/>
        <v>Sep</v>
      </c>
    </row>
    <row r="323" spans="1:9" x14ac:dyDescent="0.4">
      <c r="A323" s="2" t="s">
        <v>1497</v>
      </c>
      <c r="B323" s="2" t="s">
        <v>282</v>
      </c>
      <c r="C323" s="2" t="s">
        <v>1175</v>
      </c>
      <c r="D323" s="2"/>
      <c r="E323" s="2"/>
      <c r="F323" s="2">
        <v>71949</v>
      </c>
      <c r="G323" s="12">
        <v>45144</v>
      </c>
      <c r="H323" s="2">
        <v>71949</v>
      </c>
      <c r="I323" t="str">
        <f t="shared" ref="I323:I386" si="5">TEXT(G323,"mmm")</f>
        <v>Aug</v>
      </c>
    </row>
    <row r="324" spans="1:9" x14ac:dyDescent="0.4">
      <c r="A324" s="2" t="s">
        <v>1498</v>
      </c>
      <c r="B324" s="2" t="s">
        <v>1145</v>
      </c>
      <c r="C324" s="2" t="s">
        <v>1175</v>
      </c>
      <c r="D324" s="2">
        <v>3</v>
      </c>
      <c r="E324" s="2">
        <v>5000</v>
      </c>
      <c r="F324" s="2">
        <v>12266</v>
      </c>
      <c r="G324" s="12">
        <v>45660</v>
      </c>
      <c r="H324" s="2">
        <v>12266</v>
      </c>
      <c r="I324" t="str">
        <f t="shared" si="5"/>
        <v>Jan</v>
      </c>
    </row>
    <row r="325" spans="1:9" x14ac:dyDescent="0.4">
      <c r="A325" s="2" t="s">
        <v>1499</v>
      </c>
      <c r="B325" s="2" t="s">
        <v>564</v>
      </c>
      <c r="C325" s="2" t="s">
        <v>1173</v>
      </c>
      <c r="D325" s="2">
        <v>1</v>
      </c>
      <c r="E325" s="2">
        <v>20000</v>
      </c>
      <c r="F325" s="2"/>
      <c r="G325" s="12">
        <v>45783</v>
      </c>
      <c r="H325" s="2">
        <v>0</v>
      </c>
      <c r="I325" t="str">
        <f t="shared" si="5"/>
        <v>May</v>
      </c>
    </row>
    <row r="326" spans="1:9" x14ac:dyDescent="0.4">
      <c r="A326" s="2" t="s">
        <v>1500</v>
      </c>
      <c r="B326" s="2" t="s">
        <v>623</v>
      </c>
      <c r="C326" s="2" t="s">
        <v>1187</v>
      </c>
      <c r="D326" s="2">
        <v>2</v>
      </c>
      <c r="E326" s="2">
        <v>15000</v>
      </c>
      <c r="F326" s="2"/>
      <c r="G326" s="12">
        <v>45303</v>
      </c>
      <c r="H326" s="2">
        <v>0</v>
      </c>
      <c r="I326" t="str">
        <f t="shared" si="5"/>
        <v>Jan</v>
      </c>
    </row>
    <row r="327" spans="1:9" x14ac:dyDescent="0.4">
      <c r="A327" s="2" t="s">
        <v>1501</v>
      </c>
      <c r="B327" s="2" t="s">
        <v>458</v>
      </c>
      <c r="C327" s="2" t="s">
        <v>1180</v>
      </c>
      <c r="D327" s="2"/>
      <c r="E327" s="2">
        <v>15000</v>
      </c>
      <c r="F327" s="2"/>
      <c r="G327" s="12">
        <v>45020</v>
      </c>
      <c r="H327" s="2">
        <v>0</v>
      </c>
      <c r="I327" t="str">
        <f t="shared" si="5"/>
        <v>Apr</v>
      </c>
    </row>
    <row r="328" spans="1:9" x14ac:dyDescent="0.4">
      <c r="A328" s="2" t="s">
        <v>1502</v>
      </c>
      <c r="B328" s="2" t="s">
        <v>1040</v>
      </c>
      <c r="C328" s="2" t="s">
        <v>1180</v>
      </c>
      <c r="D328" s="2">
        <v>4</v>
      </c>
      <c r="E328" s="2">
        <v>5000</v>
      </c>
      <c r="F328" s="2"/>
      <c r="G328" s="12">
        <v>45230</v>
      </c>
      <c r="H328" s="2">
        <v>0</v>
      </c>
      <c r="I328" t="str">
        <f t="shared" si="5"/>
        <v>Oct</v>
      </c>
    </row>
    <row r="329" spans="1:9" x14ac:dyDescent="0.4">
      <c r="A329" s="2" t="s">
        <v>1503</v>
      </c>
      <c r="B329" s="2" t="s">
        <v>583</v>
      </c>
      <c r="C329" s="2" t="s">
        <v>1187</v>
      </c>
      <c r="D329" s="2">
        <v>1</v>
      </c>
      <c r="E329" s="2">
        <v>15000</v>
      </c>
      <c r="F329" s="2"/>
      <c r="G329" s="12">
        <v>45331</v>
      </c>
      <c r="H329" s="2">
        <v>0</v>
      </c>
      <c r="I329" t="str">
        <f t="shared" si="5"/>
        <v>Feb</v>
      </c>
    </row>
    <row r="330" spans="1:9" x14ac:dyDescent="0.4">
      <c r="A330" s="2" t="s">
        <v>1504</v>
      </c>
      <c r="B330" s="2" t="s">
        <v>204</v>
      </c>
      <c r="C330" s="2" t="s">
        <v>1173</v>
      </c>
      <c r="D330" s="2">
        <v>2</v>
      </c>
      <c r="E330" s="2">
        <v>5000</v>
      </c>
      <c r="F330" s="2"/>
      <c r="G330" s="12">
        <v>45636</v>
      </c>
      <c r="H330" s="2">
        <v>0</v>
      </c>
      <c r="I330" t="str">
        <f t="shared" si="5"/>
        <v>Dec</v>
      </c>
    </row>
    <row r="331" spans="1:9" x14ac:dyDescent="0.4">
      <c r="A331" s="2" t="s">
        <v>1505</v>
      </c>
      <c r="B331" s="2" t="s">
        <v>370</v>
      </c>
      <c r="C331" s="2" t="s">
        <v>1171</v>
      </c>
      <c r="D331" s="2">
        <v>3</v>
      </c>
      <c r="E331" s="2">
        <v>15000</v>
      </c>
      <c r="F331" s="2"/>
      <c r="G331" s="12">
        <v>45399</v>
      </c>
      <c r="H331" s="2">
        <v>0</v>
      </c>
      <c r="I331" t="str">
        <f t="shared" si="5"/>
        <v>Apr</v>
      </c>
    </row>
    <row r="332" spans="1:9" x14ac:dyDescent="0.4">
      <c r="A332" s="2" t="s">
        <v>1506</v>
      </c>
      <c r="B332" s="2" t="s">
        <v>1006</v>
      </c>
      <c r="C332" s="2" t="s">
        <v>1173</v>
      </c>
      <c r="D332" s="2">
        <v>2</v>
      </c>
      <c r="E332" s="2">
        <v>15000</v>
      </c>
      <c r="F332" s="2">
        <v>66835</v>
      </c>
      <c r="G332" s="12">
        <v>44945</v>
      </c>
      <c r="H332" s="2">
        <v>66835</v>
      </c>
      <c r="I332" t="str">
        <f t="shared" si="5"/>
        <v>Jan</v>
      </c>
    </row>
    <row r="333" spans="1:9" x14ac:dyDescent="0.4">
      <c r="A333" s="2" t="s">
        <v>1507</v>
      </c>
      <c r="B333" s="2" t="s">
        <v>232</v>
      </c>
      <c r="C333" s="2" t="s">
        <v>1182</v>
      </c>
      <c r="D333" s="2">
        <v>5</v>
      </c>
      <c r="E333" s="2">
        <v>10000</v>
      </c>
      <c r="F333" s="2"/>
      <c r="G333" s="12">
        <v>45746</v>
      </c>
      <c r="H333" s="2">
        <v>0</v>
      </c>
      <c r="I333" t="str">
        <f t="shared" si="5"/>
        <v>Mar</v>
      </c>
    </row>
    <row r="334" spans="1:9" x14ac:dyDescent="0.4">
      <c r="A334" s="2" t="s">
        <v>1508</v>
      </c>
      <c r="B334" s="2" t="s">
        <v>644</v>
      </c>
      <c r="C334" s="2" t="s">
        <v>1182</v>
      </c>
      <c r="D334" s="2">
        <v>1</v>
      </c>
      <c r="E334" s="2"/>
      <c r="F334" s="2"/>
      <c r="G334" s="12">
        <v>45674</v>
      </c>
      <c r="H334" s="2">
        <v>0</v>
      </c>
      <c r="I334" t="str">
        <f t="shared" si="5"/>
        <v>Jan</v>
      </c>
    </row>
    <row r="335" spans="1:9" x14ac:dyDescent="0.4">
      <c r="A335" s="2" t="s">
        <v>1509</v>
      </c>
      <c r="B335" s="2" t="s">
        <v>522</v>
      </c>
      <c r="C335" s="2" t="s">
        <v>1175</v>
      </c>
      <c r="D335" s="2">
        <v>2</v>
      </c>
      <c r="E335" s="2">
        <v>10000</v>
      </c>
      <c r="F335" s="2">
        <v>77465</v>
      </c>
      <c r="G335" s="12">
        <v>45685</v>
      </c>
      <c r="H335" s="2">
        <v>77465</v>
      </c>
      <c r="I335" t="str">
        <f t="shared" si="5"/>
        <v>Jan</v>
      </c>
    </row>
    <row r="336" spans="1:9" x14ac:dyDescent="0.4">
      <c r="A336" s="2" t="s">
        <v>1510</v>
      </c>
      <c r="B336" s="2" t="s">
        <v>189</v>
      </c>
      <c r="C336" s="2" t="s">
        <v>1173</v>
      </c>
      <c r="D336" s="2">
        <v>5</v>
      </c>
      <c r="E336" s="2">
        <v>20000</v>
      </c>
      <c r="F336" s="2">
        <v>34427</v>
      </c>
      <c r="G336" s="12">
        <v>45770</v>
      </c>
      <c r="H336" s="2">
        <v>34427</v>
      </c>
      <c r="I336" t="str">
        <f t="shared" si="5"/>
        <v>Apr</v>
      </c>
    </row>
    <row r="337" spans="1:9" x14ac:dyDescent="0.4">
      <c r="A337" s="2" t="s">
        <v>1511</v>
      </c>
      <c r="B337" s="2" t="s">
        <v>126</v>
      </c>
      <c r="C337" s="2" t="s">
        <v>1173</v>
      </c>
      <c r="D337" s="2">
        <v>5</v>
      </c>
      <c r="E337" s="2">
        <v>15000</v>
      </c>
      <c r="F337" s="2">
        <v>37540</v>
      </c>
      <c r="G337" s="12">
        <v>45659</v>
      </c>
      <c r="H337" s="2">
        <v>37540</v>
      </c>
      <c r="I337" t="str">
        <f t="shared" si="5"/>
        <v>Jan</v>
      </c>
    </row>
    <row r="338" spans="1:9" x14ac:dyDescent="0.4">
      <c r="A338" s="2" t="s">
        <v>1512</v>
      </c>
      <c r="B338" s="2" t="s">
        <v>247</v>
      </c>
      <c r="C338" s="2" t="s">
        <v>1180</v>
      </c>
      <c r="D338" s="2"/>
      <c r="E338" s="2">
        <v>10000</v>
      </c>
      <c r="F338" s="2">
        <v>99409</v>
      </c>
      <c r="G338" s="12">
        <v>45532</v>
      </c>
      <c r="H338" s="2">
        <v>99409</v>
      </c>
      <c r="I338" t="str">
        <f t="shared" si="5"/>
        <v>Aug</v>
      </c>
    </row>
    <row r="339" spans="1:9" x14ac:dyDescent="0.4">
      <c r="A339" s="2" t="s">
        <v>1513</v>
      </c>
      <c r="B339" s="2" t="s">
        <v>1053</v>
      </c>
      <c r="C339" s="2" t="s">
        <v>1175</v>
      </c>
      <c r="D339" s="2">
        <v>3</v>
      </c>
      <c r="E339" s="2">
        <v>5000</v>
      </c>
      <c r="F339" s="2"/>
      <c r="G339" s="12">
        <v>45313</v>
      </c>
      <c r="H339" s="2">
        <v>0</v>
      </c>
      <c r="I339" t="str">
        <f t="shared" si="5"/>
        <v>Jan</v>
      </c>
    </row>
    <row r="340" spans="1:9" x14ac:dyDescent="0.4">
      <c r="A340" s="2" t="s">
        <v>1514</v>
      </c>
      <c r="B340" s="2" t="s">
        <v>492</v>
      </c>
      <c r="C340" s="2" t="s">
        <v>1180</v>
      </c>
      <c r="D340" s="2">
        <v>2</v>
      </c>
      <c r="E340" s="2">
        <v>20000</v>
      </c>
      <c r="F340" s="2">
        <v>79912</v>
      </c>
      <c r="G340" s="12">
        <v>45371</v>
      </c>
      <c r="H340" s="2">
        <v>79912</v>
      </c>
      <c r="I340" t="str">
        <f t="shared" si="5"/>
        <v>Mar</v>
      </c>
    </row>
    <row r="341" spans="1:9" x14ac:dyDescent="0.4">
      <c r="A341" s="2" t="s">
        <v>1515</v>
      </c>
      <c r="B341" s="2" t="s">
        <v>517</v>
      </c>
      <c r="C341" s="2" t="s">
        <v>1171</v>
      </c>
      <c r="D341" s="2">
        <v>1</v>
      </c>
      <c r="E341" s="2">
        <v>20000</v>
      </c>
      <c r="F341" s="2"/>
      <c r="G341" s="12">
        <v>45466</v>
      </c>
      <c r="H341" s="2">
        <v>0</v>
      </c>
      <c r="I341" t="str">
        <f t="shared" si="5"/>
        <v>Jun</v>
      </c>
    </row>
    <row r="342" spans="1:9" x14ac:dyDescent="0.4">
      <c r="A342" s="2" t="s">
        <v>1516</v>
      </c>
      <c r="B342" s="2" t="s">
        <v>1106</v>
      </c>
      <c r="C342" s="2" t="s">
        <v>1173</v>
      </c>
      <c r="D342" s="2"/>
      <c r="E342" s="2">
        <v>10000</v>
      </c>
      <c r="F342" s="2"/>
      <c r="G342" s="12">
        <v>45364</v>
      </c>
      <c r="H342" s="2">
        <v>0</v>
      </c>
      <c r="I342" t="str">
        <f t="shared" si="5"/>
        <v>Mar</v>
      </c>
    </row>
    <row r="343" spans="1:9" x14ac:dyDescent="0.4">
      <c r="A343" s="2" t="s">
        <v>1517</v>
      </c>
      <c r="B343" s="2" t="s">
        <v>998</v>
      </c>
      <c r="C343" s="2" t="s">
        <v>1180</v>
      </c>
      <c r="D343" s="2">
        <v>4</v>
      </c>
      <c r="E343" s="2">
        <v>10000</v>
      </c>
      <c r="F343" s="2"/>
      <c r="G343" s="12">
        <v>45147</v>
      </c>
      <c r="H343" s="2">
        <v>0</v>
      </c>
      <c r="I343" t="str">
        <f t="shared" si="5"/>
        <v>Aug</v>
      </c>
    </row>
    <row r="344" spans="1:9" x14ac:dyDescent="0.4">
      <c r="A344" s="2" t="s">
        <v>1518</v>
      </c>
      <c r="B344" s="2" t="s">
        <v>788</v>
      </c>
      <c r="C344" s="2" t="s">
        <v>1187</v>
      </c>
      <c r="D344" s="2">
        <v>5</v>
      </c>
      <c r="E344" s="2">
        <v>15000</v>
      </c>
      <c r="F344" s="2"/>
      <c r="G344" s="12">
        <v>45092</v>
      </c>
      <c r="H344" s="2">
        <v>0</v>
      </c>
      <c r="I344" t="str">
        <f t="shared" si="5"/>
        <v>Jun</v>
      </c>
    </row>
    <row r="345" spans="1:9" x14ac:dyDescent="0.4">
      <c r="A345" s="2" t="s">
        <v>1519</v>
      </c>
      <c r="B345" s="2" t="s">
        <v>656</v>
      </c>
      <c r="C345" s="2" t="s">
        <v>1180</v>
      </c>
      <c r="D345" s="2">
        <v>3</v>
      </c>
      <c r="E345" s="2"/>
      <c r="F345" s="2">
        <v>65960</v>
      </c>
      <c r="G345" s="12">
        <v>44935</v>
      </c>
      <c r="H345" s="2">
        <v>65960</v>
      </c>
      <c r="I345" t="str">
        <f t="shared" si="5"/>
        <v>Jan</v>
      </c>
    </row>
    <row r="346" spans="1:9" x14ac:dyDescent="0.4">
      <c r="A346" s="2" t="s">
        <v>1520</v>
      </c>
      <c r="B346" s="2" t="s">
        <v>593</v>
      </c>
      <c r="C346" s="2" t="s">
        <v>1173</v>
      </c>
      <c r="D346" s="2">
        <v>1</v>
      </c>
      <c r="E346" s="2">
        <v>10000</v>
      </c>
      <c r="F346" s="2">
        <v>45723</v>
      </c>
      <c r="G346" s="12">
        <v>45197</v>
      </c>
      <c r="H346" s="2">
        <v>45723</v>
      </c>
      <c r="I346" t="str">
        <f t="shared" si="5"/>
        <v>Sep</v>
      </c>
    </row>
    <row r="347" spans="1:9" x14ac:dyDescent="0.4">
      <c r="A347" s="2" t="s">
        <v>1521</v>
      </c>
      <c r="B347" s="2" t="s">
        <v>823</v>
      </c>
      <c r="C347" s="2" t="s">
        <v>1171</v>
      </c>
      <c r="D347" s="2">
        <v>5</v>
      </c>
      <c r="E347" s="2">
        <v>10000</v>
      </c>
      <c r="F347" s="2">
        <v>16322</v>
      </c>
      <c r="G347" s="12">
        <v>45538</v>
      </c>
      <c r="H347" s="2">
        <v>16322</v>
      </c>
      <c r="I347" t="str">
        <f t="shared" si="5"/>
        <v>Sep</v>
      </c>
    </row>
    <row r="348" spans="1:9" x14ac:dyDescent="0.4">
      <c r="A348" s="2" t="s">
        <v>1522</v>
      </c>
      <c r="B348" s="2" t="s">
        <v>61</v>
      </c>
      <c r="C348" s="2" t="s">
        <v>1173</v>
      </c>
      <c r="D348" s="2">
        <v>1</v>
      </c>
      <c r="E348" s="2">
        <v>15000</v>
      </c>
      <c r="F348" s="2">
        <v>6044</v>
      </c>
      <c r="G348" s="12">
        <v>45676</v>
      </c>
      <c r="H348" s="2">
        <v>6044</v>
      </c>
      <c r="I348" t="str">
        <f t="shared" si="5"/>
        <v>Jan</v>
      </c>
    </row>
    <row r="349" spans="1:9" x14ac:dyDescent="0.4">
      <c r="A349" s="2" t="s">
        <v>1523</v>
      </c>
      <c r="B349" s="2" t="s">
        <v>715</v>
      </c>
      <c r="C349" s="2" t="s">
        <v>1187</v>
      </c>
      <c r="D349" s="2">
        <v>2</v>
      </c>
      <c r="E349" s="2">
        <v>5000</v>
      </c>
      <c r="F349" s="2">
        <v>31302</v>
      </c>
      <c r="G349" s="12">
        <v>45302</v>
      </c>
      <c r="H349" s="2">
        <v>31302</v>
      </c>
      <c r="I349" t="str">
        <f t="shared" si="5"/>
        <v>Jan</v>
      </c>
    </row>
    <row r="350" spans="1:9" x14ac:dyDescent="0.4">
      <c r="A350" s="2" t="s">
        <v>1524</v>
      </c>
      <c r="B350" s="2" t="s">
        <v>250</v>
      </c>
      <c r="C350" s="2" t="s">
        <v>1182</v>
      </c>
      <c r="D350" s="2">
        <v>5</v>
      </c>
      <c r="E350" s="2">
        <v>15000</v>
      </c>
      <c r="F350" s="2">
        <v>78899</v>
      </c>
      <c r="G350" s="12">
        <v>45763</v>
      </c>
      <c r="H350" s="2">
        <v>78899</v>
      </c>
      <c r="I350" t="str">
        <f t="shared" si="5"/>
        <v>Apr</v>
      </c>
    </row>
    <row r="351" spans="1:9" x14ac:dyDescent="0.4">
      <c r="A351" s="2" t="s">
        <v>1525</v>
      </c>
      <c r="B351" s="2" t="s">
        <v>432</v>
      </c>
      <c r="C351" s="2" t="s">
        <v>1182</v>
      </c>
      <c r="D351" s="2">
        <v>2</v>
      </c>
      <c r="E351" s="2">
        <v>15000</v>
      </c>
      <c r="F351" s="2"/>
      <c r="G351" s="12">
        <v>45826</v>
      </c>
      <c r="H351" s="2">
        <v>0</v>
      </c>
      <c r="I351" t="str">
        <f t="shared" si="5"/>
        <v>Jun</v>
      </c>
    </row>
    <row r="352" spans="1:9" x14ac:dyDescent="0.4">
      <c r="A352" s="2" t="s">
        <v>1526</v>
      </c>
      <c r="B352" s="2" t="s">
        <v>527</v>
      </c>
      <c r="C352" s="2" t="s">
        <v>1171</v>
      </c>
      <c r="D352" s="2">
        <v>4</v>
      </c>
      <c r="E352" s="2">
        <v>20000</v>
      </c>
      <c r="F352" s="2">
        <v>65807</v>
      </c>
      <c r="G352" s="12">
        <v>45358</v>
      </c>
      <c r="H352" s="2">
        <v>65807</v>
      </c>
      <c r="I352" t="str">
        <f t="shared" si="5"/>
        <v>Mar</v>
      </c>
    </row>
    <row r="353" spans="1:9" x14ac:dyDescent="0.4">
      <c r="A353" s="2" t="s">
        <v>1527</v>
      </c>
      <c r="B353" s="2" t="s">
        <v>1024</v>
      </c>
      <c r="C353" s="2" t="s">
        <v>1171</v>
      </c>
      <c r="D353" s="2">
        <v>5</v>
      </c>
      <c r="E353" s="2"/>
      <c r="F353" s="2">
        <v>82554</v>
      </c>
      <c r="G353" s="12">
        <v>45024</v>
      </c>
      <c r="H353" s="2">
        <v>82554</v>
      </c>
      <c r="I353" t="str">
        <f t="shared" si="5"/>
        <v>Apr</v>
      </c>
    </row>
    <row r="354" spans="1:9" x14ac:dyDescent="0.4">
      <c r="A354" s="2" t="s">
        <v>1528</v>
      </c>
      <c r="B354" s="2" t="s">
        <v>744</v>
      </c>
      <c r="C354" s="2" t="s">
        <v>1187</v>
      </c>
      <c r="D354" s="2">
        <v>4</v>
      </c>
      <c r="E354" s="2">
        <v>5000</v>
      </c>
      <c r="F354" s="2"/>
      <c r="G354" s="12">
        <v>45409</v>
      </c>
      <c r="H354" s="2">
        <v>0</v>
      </c>
      <c r="I354" t="str">
        <f t="shared" si="5"/>
        <v>Apr</v>
      </c>
    </row>
    <row r="355" spans="1:9" x14ac:dyDescent="0.4">
      <c r="A355" s="2" t="s">
        <v>1529</v>
      </c>
      <c r="B355" s="2" t="s">
        <v>462</v>
      </c>
      <c r="C355" s="2" t="s">
        <v>1180</v>
      </c>
      <c r="D355" s="2"/>
      <c r="E355" s="2">
        <v>15000</v>
      </c>
      <c r="F355" s="2"/>
      <c r="G355" s="12">
        <v>45312</v>
      </c>
      <c r="H355" s="2">
        <v>0</v>
      </c>
      <c r="I355" t="str">
        <f t="shared" si="5"/>
        <v>Jan</v>
      </c>
    </row>
    <row r="356" spans="1:9" x14ac:dyDescent="0.4">
      <c r="A356" s="2" t="s">
        <v>1530</v>
      </c>
      <c r="B356" s="2" t="s">
        <v>47</v>
      </c>
      <c r="C356" s="2" t="s">
        <v>1182</v>
      </c>
      <c r="D356" s="2"/>
      <c r="E356" s="2">
        <v>15000</v>
      </c>
      <c r="F356" s="2"/>
      <c r="G356" s="12">
        <v>45127</v>
      </c>
      <c r="H356" s="2">
        <v>0</v>
      </c>
      <c r="I356" t="str">
        <f t="shared" si="5"/>
        <v>Jul</v>
      </c>
    </row>
    <row r="357" spans="1:9" x14ac:dyDescent="0.4">
      <c r="A357" s="2" t="s">
        <v>1531</v>
      </c>
      <c r="B357" s="2" t="s">
        <v>777</v>
      </c>
      <c r="C357" s="2" t="s">
        <v>1182</v>
      </c>
      <c r="D357" s="2">
        <v>4</v>
      </c>
      <c r="E357" s="2">
        <v>10000</v>
      </c>
      <c r="F357" s="2">
        <v>35539</v>
      </c>
      <c r="G357" s="12">
        <v>45054</v>
      </c>
      <c r="H357" s="2">
        <v>35539</v>
      </c>
      <c r="I357" t="str">
        <f t="shared" si="5"/>
        <v>May</v>
      </c>
    </row>
    <row r="358" spans="1:9" x14ac:dyDescent="0.4">
      <c r="A358" s="2" t="s">
        <v>1532</v>
      </c>
      <c r="B358" s="2" t="s">
        <v>599</v>
      </c>
      <c r="C358" s="2" t="s">
        <v>1182</v>
      </c>
      <c r="D358" s="2">
        <v>5</v>
      </c>
      <c r="E358" s="2">
        <v>10000</v>
      </c>
      <c r="F358" s="2"/>
      <c r="G358" s="12">
        <v>45317</v>
      </c>
      <c r="H358" s="2">
        <v>0</v>
      </c>
      <c r="I358" t="str">
        <f t="shared" si="5"/>
        <v>Jan</v>
      </c>
    </row>
    <row r="359" spans="1:9" x14ac:dyDescent="0.4">
      <c r="A359" s="2" t="s">
        <v>1533</v>
      </c>
      <c r="B359" s="2" t="s">
        <v>1161</v>
      </c>
      <c r="C359" s="2" t="s">
        <v>1182</v>
      </c>
      <c r="D359" s="2">
        <v>4</v>
      </c>
      <c r="E359" s="2">
        <v>15000</v>
      </c>
      <c r="F359" s="2"/>
      <c r="G359" s="12">
        <v>45295</v>
      </c>
      <c r="H359" s="2">
        <v>0</v>
      </c>
      <c r="I359" t="str">
        <f t="shared" si="5"/>
        <v>Jan</v>
      </c>
    </row>
    <row r="360" spans="1:9" x14ac:dyDescent="0.4">
      <c r="A360" s="2" t="s">
        <v>1534</v>
      </c>
      <c r="B360" s="2" t="s">
        <v>387</v>
      </c>
      <c r="C360" s="2" t="s">
        <v>1187</v>
      </c>
      <c r="D360" s="2">
        <v>5</v>
      </c>
      <c r="E360" s="2">
        <v>10000</v>
      </c>
      <c r="F360" s="2">
        <v>91154</v>
      </c>
      <c r="G360" s="12">
        <v>45625</v>
      </c>
      <c r="H360" s="2">
        <v>91154</v>
      </c>
      <c r="I360" t="str">
        <f t="shared" si="5"/>
        <v>Nov</v>
      </c>
    </row>
    <row r="361" spans="1:9" x14ac:dyDescent="0.4">
      <c r="A361" s="2" t="s">
        <v>1535</v>
      </c>
      <c r="B361" s="2" t="s">
        <v>1110</v>
      </c>
      <c r="C361" s="2" t="s">
        <v>1171</v>
      </c>
      <c r="D361" s="2">
        <v>5</v>
      </c>
      <c r="E361" s="2"/>
      <c r="F361" s="2"/>
      <c r="G361" s="12">
        <v>45551</v>
      </c>
      <c r="H361" s="2">
        <v>0</v>
      </c>
      <c r="I361" t="str">
        <f t="shared" si="5"/>
        <v>Sep</v>
      </c>
    </row>
    <row r="362" spans="1:9" x14ac:dyDescent="0.4">
      <c r="A362" s="2" t="s">
        <v>1536</v>
      </c>
      <c r="B362" s="2" t="s">
        <v>870</v>
      </c>
      <c r="C362" s="2" t="s">
        <v>1171</v>
      </c>
      <c r="D362" s="2">
        <v>2</v>
      </c>
      <c r="E362" s="2">
        <v>15000</v>
      </c>
      <c r="F362" s="2"/>
      <c r="G362" s="12">
        <v>45217</v>
      </c>
      <c r="H362" s="2">
        <v>0</v>
      </c>
      <c r="I362" t="str">
        <f t="shared" si="5"/>
        <v>Oct</v>
      </c>
    </row>
    <row r="363" spans="1:9" x14ac:dyDescent="0.4">
      <c r="A363" s="2" t="s">
        <v>1537</v>
      </c>
      <c r="B363" s="2" t="s">
        <v>982</v>
      </c>
      <c r="C363" s="2" t="s">
        <v>1175</v>
      </c>
      <c r="D363" s="2">
        <v>5</v>
      </c>
      <c r="E363" s="2">
        <v>10000</v>
      </c>
      <c r="F363" s="2">
        <v>60026</v>
      </c>
      <c r="G363" s="12">
        <v>45133</v>
      </c>
      <c r="H363" s="2">
        <v>60026</v>
      </c>
      <c r="I363" t="str">
        <f t="shared" si="5"/>
        <v>Jul</v>
      </c>
    </row>
    <row r="364" spans="1:9" x14ac:dyDescent="0.4">
      <c r="A364" s="2" t="s">
        <v>1538</v>
      </c>
      <c r="B364" s="2" t="s">
        <v>613</v>
      </c>
      <c r="C364" s="2" t="s">
        <v>1180</v>
      </c>
      <c r="D364" s="2">
        <v>3</v>
      </c>
      <c r="E364" s="2">
        <v>20000</v>
      </c>
      <c r="F364" s="2"/>
      <c r="G364" s="12">
        <v>45318</v>
      </c>
      <c r="H364" s="2">
        <v>0</v>
      </c>
      <c r="I364" t="str">
        <f t="shared" si="5"/>
        <v>Jan</v>
      </c>
    </row>
    <row r="365" spans="1:9" x14ac:dyDescent="0.4">
      <c r="A365" s="2" t="s">
        <v>1539</v>
      </c>
      <c r="B365" s="2" t="s">
        <v>956</v>
      </c>
      <c r="C365" s="2" t="s">
        <v>1171</v>
      </c>
      <c r="D365" s="2">
        <v>5</v>
      </c>
      <c r="E365" s="2">
        <v>10000</v>
      </c>
      <c r="F365" s="2">
        <v>98277</v>
      </c>
      <c r="G365" s="12">
        <v>45273</v>
      </c>
      <c r="H365" s="2">
        <v>98277</v>
      </c>
      <c r="I365" t="str">
        <f t="shared" si="5"/>
        <v>Dec</v>
      </c>
    </row>
    <row r="366" spans="1:9" x14ac:dyDescent="0.4">
      <c r="A366" s="2" t="s">
        <v>1540</v>
      </c>
      <c r="B366" s="2" t="s">
        <v>403</v>
      </c>
      <c r="C366" s="2" t="s">
        <v>1182</v>
      </c>
      <c r="D366" s="2">
        <v>2</v>
      </c>
      <c r="E366" s="2">
        <v>5000</v>
      </c>
      <c r="F366" s="2"/>
      <c r="G366" s="12">
        <v>45811</v>
      </c>
      <c r="H366" s="2">
        <v>0</v>
      </c>
      <c r="I366" t="str">
        <f t="shared" si="5"/>
        <v>Jun</v>
      </c>
    </row>
    <row r="367" spans="1:9" x14ac:dyDescent="0.4">
      <c r="A367" s="2" t="s">
        <v>1541</v>
      </c>
      <c r="B367" s="2" t="s">
        <v>121</v>
      </c>
      <c r="C367" s="2" t="s">
        <v>1173</v>
      </c>
      <c r="D367" s="2">
        <v>5</v>
      </c>
      <c r="E367" s="2"/>
      <c r="F367" s="2">
        <v>35339</v>
      </c>
      <c r="G367" s="12">
        <v>45034</v>
      </c>
      <c r="H367" s="2">
        <v>35339</v>
      </c>
      <c r="I367" t="str">
        <f t="shared" si="5"/>
        <v>Apr</v>
      </c>
    </row>
    <row r="368" spans="1:9" x14ac:dyDescent="0.4">
      <c r="A368" s="2" t="s">
        <v>1542</v>
      </c>
      <c r="B368" s="2" t="s">
        <v>644</v>
      </c>
      <c r="C368" s="2" t="s">
        <v>1182</v>
      </c>
      <c r="D368" s="2">
        <v>5</v>
      </c>
      <c r="E368" s="2">
        <v>5000</v>
      </c>
      <c r="F368" s="2">
        <v>96861</v>
      </c>
      <c r="G368" s="12">
        <v>45229</v>
      </c>
      <c r="H368" s="2">
        <v>96861</v>
      </c>
      <c r="I368" t="str">
        <f t="shared" si="5"/>
        <v>Oct</v>
      </c>
    </row>
    <row r="369" spans="1:9" x14ac:dyDescent="0.4">
      <c r="A369" s="2" t="s">
        <v>1543</v>
      </c>
      <c r="B369" s="2" t="s">
        <v>901</v>
      </c>
      <c r="C369" s="2" t="s">
        <v>1182</v>
      </c>
      <c r="D369" s="2">
        <v>5</v>
      </c>
      <c r="E369" s="2">
        <v>5000</v>
      </c>
      <c r="F369" s="2"/>
      <c r="G369" s="12">
        <v>45905</v>
      </c>
      <c r="H369" s="2">
        <v>0</v>
      </c>
      <c r="I369" t="str">
        <f t="shared" si="5"/>
        <v>Sep</v>
      </c>
    </row>
    <row r="370" spans="1:9" x14ac:dyDescent="0.4">
      <c r="A370" s="2" t="s">
        <v>1544</v>
      </c>
      <c r="B370" s="2" t="s">
        <v>40</v>
      </c>
      <c r="C370" s="2" t="s">
        <v>1171</v>
      </c>
      <c r="D370" s="2">
        <v>2</v>
      </c>
      <c r="E370" s="2">
        <v>20000</v>
      </c>
      <c r="F370" s="2"/>
      <c r="G370" s="12">
        <v>45302</v>
      </c>
      <c r="H370" s="2">
        <v>0</v>
      </c>
      <c r="I370" t="str">
        <f t="shared" si="5"/>
        <v>Jan</v>
      </c>
    </row>
    <row r="371" spans="1:9" x14ac:dyDescent="0.4">
      <c r="A371" s="2" t="s">
        <v>1545</v>
      </c>
      <c r="B371" s="2" t="s">
        <v>693</v>
      </c>
      <c r="C371" s="2" t="s">
        <v>1175</v>
      </c>
      <c r="D371" s="2">
        <v>5</v>
      </c>
      <c r="E371" s="2"/>
      <c r="F371" s="2"/>
      <c r="G371" s="12">
        <v>45089</v>
      </c>
      <c r="H371" s="2">
        <v>0</v>
      </c>
      <c r="I371" t="str">
        <f t="shared" si="5"/>
        <v>Jun</v>
      </c>
    </row>
    <row r="372" spans="1:9" x14ac:dyDescent="0.4">
      <c r="A372" s="2" t="s">
        <v>1546</v>
      </c>
      <c r="B372" s="2" t="s">
        <v>589</v>
      </c>
      <c r="C372" s="2" t="s">
        <v>1187</v>
      </c>
      <c r="D372" s="2">
        <v>2</v>
      </c>
      <c r="E372" s="2"/>
      <c r="F372" s="2">
        <v>88521</v>
      </c>
      <c r="G372" s="12">
        <v>45019</v>
      </c>
      <c r="H372" s="2">
        <v>88521</v>
      </c>
      <c r="I372" t="str">
        <f t="shared" si="5"/>
        <v>Apr</v>
      </c>
    </row>
    <row r="373" spans="1:9" x14ac:dyDescent="0.4">
      <c r="A373" s="2" t="s">
        <v>1547</v>
      </c>
      <c r="B373" s="2" t="s">
        <v>1162</v>
      </c>
      <c r="C373" s="2" t="s">
        <v>1173</v>
      </c>
      <c r="D373" s="2"/>
      <c r="E373" s="2"/>
      <c r="F373" s="2"/>
      <c r="G373" s="12">
        <v>45191</v>
      </c>
      <c r="H373" s="2">
        <v>0</v>
      </c>
      <c r="I373" t="str">
        <f t="shared" si="5"/>
        <v>Sep</v>
      </c>
    </row>
    <row r="374" spans="1:9" x14ac:dyDescent="0.4">
      <c r="A374" s="2" t="s">
        <v>1548</v>
      </c>
      <c r="B374" s="2" t="s">
        <v>98</v>
      </c>
      <c r="C374" s="2" t="s">
        <v>1180</v>
      </c>
      <c r="D374" s="2">
        <v>2</v>
      </c>
      <c r="E374" s="2"/>
      <c r="F374" s="2"/>
      <c r="G374" s="12">
        <v>45727</v>
      </c>
      <c r="H374" s="2">
        <v>0</v>
      </c>
      <c r="I374" t="str">
        <f t="shared" si="5"/>
        <v>Mar</v>
      </c>
    </row>
    <row r="375" spans="1:9" x14ac:dyDescent="0.4">
      <c r="A375" s="2" t="s">
        <v>1549</v>
      </c>
      <c r="B375" s="2" t="s">
        <v>241</v>
      </c>
      <c r="C375" s="2" t="s">
        <v>1173</v>
      </c>
      <c r="D375" s="2">
        <v>2</v>
      </c>
      <c r="E375" s="2"/>
      <c r="F375" s="2">
        <v>36034</v>
      </c>
      <c r="G375" s="12">
        <v>45660</v>
      </c>
      <c r="H375" s="2">
        <v>36034</v>
      </c>
      <c r="I375" t="str">
        <f t="shared" si="5"/>
        <v>Jan</v>
      </c>
    </row>
    <row r="376" spans="1:9" x14ac:dyDescent="0.4">
      <c r="A376" s="2" t="s">
        <v>1550</v>
      </c>
      <c r="B376" s="2" t="s">
        <v>960</v>
      </c>
      <c r="C376" s="2" t="s">
        <v>1175</v>
      </c>
      <c r="D376" s="2">
        <v>2</v>
      </c>
      <c r="E376" s="2">
        <v>20000</v>
      </c>
      <c r="F376" s="2">
        <v>39208</v>
      </c>
      <c r="G376" s="12">
        <v>45132</v>
      </c>
      <c r="H376" s="2">
        <v>39208</v>
      </c>
      <c r="I376" t="str">
        <f t="shared" si="5"/>
        <v>Jul</v>
      </c>
    </row>
    <row r="377" spans="1:9" x14ac:dyDescent="0.4">
      <c r="A377" s="2" t="s">
        <v>1551</v>
      </c>
      <c r="B377" s="2" t="s">
        <v>270</v>
      </c>
      <c r="C377" s="2" t="s">
        <v>1182</v>
      </c>
      <c r="D377" s="2">
        <v>2</v>
      </c>
      <c r="E377" s="2">
        <v>10000</v>
      </c>
      <c r="F377" s="2">
        <v>56505</v>
      </c>
      <c r="G377" s="12">
        <v>44912</v>
      </c>
      <c r="H377" s="2">
        <v>56505</v>
      </c>
      <c r="I377" t="str">
        <f t="shared" si="5"/>
        <v>Dec</v>
      </c>
    </row>
    <row r="378" spans="1:9" x14ac:dyDescent="0.4">
      <c r="A378" s="2" t="s">
        <v>1552</v>
      </c>
      <c r="B378" s="2" t="s">
        <v>477</v>
      </c>
      <c r="C378" s="2" t="s">
        <v>1187</v>
      </c>
      <c r="D378" s="2">
        <v>5</v>
      </c>
      <c r="E378" s="2">
        <v>5000</v>
      </c>
      <c r="F378" s="2">
        <v>46688</v>
      </c>
      <c r="G378" s="12">
        <v>45799</v>
      </c>
      <c r="H378" s="2">
        <v>46688</v>
      </c>
      <c r="I378" t="str">
        <f t="shared" si="5"/>
        <v>May</v>
      </c>
    </row>
    <row r="379" spans="1:9" x14ac:dyDescent="0.4">
      <c r="A379" s="2" t="s">
        <v>1553</v>
      </c>
      <c r="B379" s="2" t="s">
        <v>701</v>
      </c>
      <c r="C379" s="2" t="s">
        <v>1187</v>
      </c>
      <c r="D379" s="2">
        <v>4</v>
      </c>
      <c r="E379" s="2"/>
      <c r="F379" s="2"/>
      <c r="G379" s="12">
        <v>44931</v>
      </c>
      <c r="H379" s="2">
        <v>0</v>
      </c>
      <c r="I379" t="str">
        <f t="shared" si="5"/>
        <v>Jan</v>
      </c>
    </row>
    <row r="380" spans="1:9" x14ac:dyDescent="0.4">
      <c r="A380" s="2" t="s">
        <v>1554</v>
      </c>
      <c r="B380" s="2" t="s">
        <v>1152</v>
      </c>
      <c r="C380" s="2" t="s">
        <v>1187</v>
      </c>
      <c r="D380" s="2">
        <v>3</v>
      </c>
      <c r="E380" s="2">
        <v>10000</v>
      </c>
      <c r="F380" s="2"/>
      <c r="G380" s="12">
        <v>45708</v>
      </c>
      <c r="H380" s="2">
        <v>0</v>
      </c>
      <c r="I380" t="str">
        <f t="shared" si="5"/>
        <v>Feb</v>
      </c>
    </row>
    <row r="381" spans="1:9" x14ac:dyDescent="0.4">
      <c r="A381" s="2" t="s">
        <v>1555</v>
      </c>
      <c r="B381" s="2" t="s">
        <v>203</v>
      </c>
      <c r="C381" s="2" t="s">
        <v>1180</v>
      </c>
      <c r="D381" s="2">
        <v>5</v>
      </c>
      <c r="E381" s="2">
        <v>10000</v>
      </c>
      <c r="F381" s="2"/>
      <c r="G381" s="12">
        <v>45705</v>
      </c>
      <c r="H381" s="2">
        <v>0</v>
      </c>
      <c r="I381" t="str">
        <f t="shared" si="5"/>
        <v>Feb</v>
      </c>
    </row>
    <row r="382" spans="1:9" x14ac:dyDescent="0.4">
      <c r="A382" s="2" t="s">
        <v>1556</v>
      </c>
      <c r="B382" s="2" t="s">
        <v>946</v>
      </c>
      <c r="C382" s="2" t="s">
        <v>1171</v>
      </c>
      <c r="D382" s="2">
        <v>2</v>
      </c>
      <c r="E382" s="2">
        <v>5000</v>
      </c>
      <c r="F382" s="2"/>
      <c r="G382" s="12">
        <v>45173</v>
      </c>
      <c r="H382" s="2">
        <v>0</v>
      </c>
      <c r="I382" t="str">
        <f t="shared" si="5"/>
        <v>Sep</v>
      </c>
    </row>
    <row r="383" spans="1:9" x14ac:dyDescent="0.4">
      <c r="A383" s="2" t="s">
        <v>1557</v>
      </c>
      <c r="B383" s="2" t="s">
        <v>861</v>
      </c>
      <c r="C383" s="2" t="s">
        <v>1182</v>
      </c>
      <c r="D383" s="2">
        <v>5</v>
      </c>
      <c r="E383" s="2">
        <v>20000</v>
      </c>
      <c r="F383" s="2">
        <v>26544</v>
      </c>
      <c r="G383" s="12">
        <v>44880</v>
      </c>
      <c r="H383" s="2">
        <v>26544</v>
      </c>
      <c r="I383" t="str">
        <f t="shared" si="5"/>
        <v>Nov</v>
      </c>
    </row>
    <row r="384" spans="1:9" x14ac:dyDescent="0.4">
      <c r="A384" s="2" t="s">
        <v>1558</v>
      </c>
      <c r="B384" s="2" t="s">
        <v>965</v>
      </c>
      <c r="C384" s="2" t="s">
        <v>1173</v>
      </c>
      <c r="D384" s="2">
        <v>1</v>
      </c>
      <c r="E384" s="2">
        <v>15000</v>
      </c>
      <c r="F384" s="2">
        <v>66086</v>
      </c>
      <c r="G384" s="12">
        <v>45628</v>
      </c>
      <c r="H384" s="2">
        <v>66086</v>
      </c>
      <c r="I384" t="str">
        <f t="shared" si="5"/>
        <v>Dec</v>
      </c>
    </row>
    <row r="385" spans="1:9" x14ac:dyDescent="0.4">
      <c r="A385" s="2" t="s">
        <v>1559</v>
      </c>
      <c r="B385" s="2" t="s">
        <v>629</v>
      </c>
      <c r="C385" s="2" t="s">
        <v>1173</v>
      </c>
      <c r="D385" s="2">
        <v>3</v>
      </c>
      <c r="E385" s="2">
        <v>15000</v>
      </c>
      <c r="F385" s="2"/>
      <c r="G385" s="12">
        <v>44910</v>
      </c>
      <c r="H385" s="2">
        <v>0</v>
      </c>
      <c r="I385" t="str">
        <f t="shared" si="5"/>
        <v>Dec</v>
      </c>
    </row>
    <row r="386" spans="1:9" x14ac:dyDescent="0.4">
      <c r="A386" s="2" t="s">
        <v>1560</v>
      </c>
      <c r="B386" s="2" t="s">
        <v>892</v>
      </c>
      <c r="C386" s="2" t="s">
        <v>1182</v>
      </c>
      <c r="D386" s="2">
        <v>3</v>
      </c>
      <c r="E386" s="2">
        <v>10000</v>
      </c>
      <c r="F386" s="2">
        <v>75244</v>
      </c>
      <c r="G386" s="12">
        <v>45444</v>
      </c>
      <c r="H386" s="2">
        <v>75244</v>
      </c>
      <c r="I386" t="str">
        <f t="shared" si="5"/>
        <v>Jun</v>
      </c>
    </row>
    <row r="387" spans="1:9" x14ac:dyDescent="0.4">
      <c r="A387" s="2" t="s">
        <v>1561</v>
      </c>
      <c r="B387" s="2" t="s">
        <v>1063</v>
      </c>
      <c r="C387" s="2" t="s">
        <v>1173</v>
      </c>
      <c r="D387" s="2">
        <v>2</v>
      </c>
      <c r="E387" s="2">
        <v>15000</v>
      </c>
      <c r="F387" s="2">
        <v>32215</v>
      </c>
      <c r="G387" s="12">
        <v>45185</v>
      </c>
      <c r="H387" s="2">
        <v>32215</v>
      </c>
      <c r="I387" t="str">
        <f t="shared" ref="I387:I450" si="6">TEXT(G387,"mmm")</f>
        <v>Sep</v>
      </c>
    </row>
    <row r="388" spans="1:9" x14ac:dyDescent="0.4">
      <c r="A388" s="2" t="s">
        <v>1562</v>
      </c>
      <c r="B388" s="2" t="s">
        <v>467</v>
      </c>
      <c r="C388" s="2" t="s">
        <v>1171</v>
      </c>
      <c r="D388" s="2">
        <v>3</v>
      </c>
      <c r="E388" s="2">
        <v>15000</v>
      </c>
      <c r="F388" s="2">
        <v>45410</v>
      </c>
      <c r="G388" s="12">
        <v>45307</v>
      </c>
      <c r="H388" s="2">
        <v>45410</v>
      </c>
      <c r="I388" t="str">
        <f t="shared" si="6"/>
        <v>Jan</v>
      </c>
    </row>
    <row r="389" spans="1:9" x14ac:dyDescent="0.4">
      <c r="A389" s="2" t="s">
        <v>1563</v>
      </c>
      <c r="B389" s="2" t="s">
        <v>249</v>
      </c>
      <c r="C389" s="2" t="s">
        <v>1187</v>
      </c>
      <c r="D389" s="2">
        <v>2</v>
      </c>
      <c r="E389" s="2">
        <v>5000</v>
      </c>
      <c r="F389" s="2"/>
      <c r="G389" s="12">
        <v>45757</v>
      </c>
      <c r="H389" s="2">
        <v>0</v>
      </c>
      <c r="I389" t="str">
        <f t="shared" si="6"/>
        <v>Apr</v>
      </c>
    </row>
    <row r="390" spans="1:9" x14ac:dyDescent="0.4">
      <c r="A390" s="2" t="s">
        <v>1564</v>
      </c>
      <c r="B390" s="2" t="s">
        <v>248</v>
      </c>
      <c r="C390" s="2" t="s">
        <v>1173</v>
      </c>
      <c r="D390" s="2">
        <v>5</v>
      </c>
      <c r="E390" s="2">
        <v>15000</v>
      </c>
      <c r="F390" s="2"/>
      <c r="G390" s="12">
        <v>45532</v>
      </c>
      <c r="H390" s="2">
        <v>0</v>
      </c>
      <c r="I390" t="str">
        <f t="shared" si="6"/>
        <v>Aug</v>
      </c>
    </row>
    <row r="391" spans="1:9" x14ac:dyDescent="0.4">
      <c r="A391" s="2" t="s">
        <v>1565</v>
      </c>
      <c r="B391" s="2" t="s">
        <v>462</v>
      </c>
      <c r="C391" s="2" t="s">
        <v>1171</v>
      </c>
      <c r="D391" s="2">
        <v>5</v>
      </c>
      <c r="E391" s="2">
        <v>10000</v>
      </c>
      <c r="F391" s="2">
        <v>94922</v>
      </c>
      <c r="G391" s="12">
        <v>45561</v>
      </c>
      <c r="H391" s="2">
        <v>94922</v>
      </c>
      <c r="I391" t="str">
        <f t="shared" si="6"/>
        <v>Sep</v>
      </c>
    </row>
    <row r="392" spans="1:9" x14ac:dyDescent="0.4">
      <c r="A392" s="2" t="s">
        <v>1566</v>
      </c>
      <c r="B392" s="2" t="s">
        <v>103</v>
      </c>
      <c r="C392" s="2" t="s">
        <v>1187</v>
      </c>
      <c r="D392" s="2"/>
      <c r="E392" s="2">
        <v>20000</v>
      </c>
      <c r="F392" s="2"/>
      <c r="G392" s="12">
        <v>45679</v>
      </c>
      <c r="H392" s="2">
        <v>0</v>
      </c>
      <c r="I392" t="str">
        <f t="shared" si="6"/>
        <v>Jan</v>
      </c>
    </row>
    <row r="393" spans="1:9" x14ac:dyDescent="0.4">
      <c r="A393" s="2" t="s">
        <v>1567</v>
      </c>
      <c r="B393" s="2" t="s">
        <v>846</v>
      </c>
      <c r="C393" s="2" t="s">
        <v>1180</v>
      </c>
      <c r="D393" s="2">
        <v>5</v>
      </c>
      <c r="E393" s="2">
        <v>15000</v>
      </c>
      <c r="F393" s="2">
        <v>33183</v>
      </c>
      <c r="G393" s="12">
        <v>45066</v>
      </c>
      <c r="H393" s="2">
        <v>33183</v>
      </c>
      <c r="I393" t="str">
        <f t="shared" si="6"/>
        <v>May</v>
      </c>
    </row>
    <row r="394" spans="1:9" x14ac:dyDescent="0.4">
      <c r="A394" s="2" t="s">
        <v>1568</v>
      </c>
      <c r="B394" s="2" t="s">
        <v>183</v>
      </c>
      <c r="C394" s="2" t="s">
        <v>1180</v>
      </c>
      <c r="D394" s="2">
        <v>5</v>
      </c>
      <c r="E394" s="2">
        <v>10000</v>
      </c>
      <c r="F394" s="2"/>
      <c r="G394" s="12">
        <v>45575</v>
      </c>
      <c r="H394" s="2">
        <v>0</v>
      </c>
      <c r="I394" t="str">
        <f t="shared" si="6"/>
        <v>Oct</v>
      </c>
    </row>
    <row r="395" spans="1:9" x14ac:dyDescent="0.4">
      <c r="A395" s="2" t="s">
        <v>1569</v>
      </c>
      <c r="B395" s="2" t="s">
        <v>634</v>
      </c>
      <c r="C395" s="2" t="s">
        <v>1182</v>
      </c>
      <c r="D395" s="2">
        <v>5</v>
      </c>
      <c r="E395" s="2">
        <v>10000</v>
      </c>
      <c r="F395" s="2"/>
      <c r="G395" s="12">
        <v>45328</v>
      </c>
      <c r="H395" s="2">
        <v>0</v>
      </c>
      <c r="I395" t="str">
        <f t="shared" si="6"/>
        <v>Feb</v>
      </c>
    </row>
    <row r="396" spans="1:9" x14ac:dyDescent="0.4">
      <c r="A396" s="2" t="s">
        <v>1570</v>
      </c>
      <c r="B396" s="2" t="s">
        <v>516</v>
      </c>
      <c r="C396" s="2" t="s">
        <v>1182</v>
      </c>
      <c r="D396" s="2">
        <v>2</v>
      </c>
      <c r="E396" s="2"/>
      <c r="F396" s="2">
        <v>51627</v>
      </c>
      <c r="G396" s="12">
        <v>45040</v>
      </c>
      <c r="H396" s="2">
        <v>51627</v>
      </c>
      <c r="I396" t="str">
        <f t="shared" si="6"/>
        <v>Apr</v>
      </c>
    </row>
    <row r="397" spans="1:9" x14ac:dyDescent="0.4">
      <c r="A397" s="2" t="s">
        <v>1571</v>
      </c>
      <c r="B397" s="2" t="s">
        <v>627</v>
      </c>
      <c r="C397" s="2" t="s">
        <v>1171</v>
      </c>
      <c r="D397" s="2">
        <v>5</v>
      </c>
      <c r="E397" s="2">
        <v>20000</v>
      </c>
      <c r="F397" s="2"/>
      <c r="G397" s="12">
        <v>45056</v>
      </c>
      <c r="H397" s="2">
        <v>0</v>
      </c>
      <c r="I397" t="str">
        <f t="shared" si="6"/>
        <v>May</v>
      </c>
    </row>
    <row r="398" spans="1:9" x14ac:dyDescent="0.4">
      <c r="A398" s="2" t="s">
        <v>1572</v>
      </c>
      <c r="B398" s="2" t="s">
        <v>173</v>
      </c>
      <c r="C398" s="2" t="s">
        <v>1180</v>
      </c>
      <c r="D398" s="2"/>
      <c r="E398" s="2"/>
      <c r="F398" s="2">
        <v>93759</v>
      </c>
      <c r="G398" s="12">
        <v>45560</v>
      </c>
      <c r="H398" s="2">
        <v>93759</v>
      </c>
      <c r="I398" t="str">
        <f t="shared" si="6"/>
        <v>Sep</v>
      </c>
    </row>
    <row r="399" spans="1:9" x14ac:dyDescent="0.4">
      <c r="A399" s="2" t="s">
        <v>1573</v>
      </c>
      <c r="B399" s="2" t="s">
        <v>792</v>
      </c>
      <c r="C399" s="2" t="s">
        <v>1180</v>
      </c>
      <c r="D399" s="2">
        <v>1</v>
      </c>
      <c r="E399" s="2">
        <v>5000</v>
      </c>
      <c r="F399" s="2"/>
      <c r="G399" s="12">
        <v>45541</v>
      </c>
      <c r="H399" s="2">
        <v>0</v>
      </c>
      <c r="I399" t="str">
        <f t="shared" si="6"/>
        <v>Sep</v>
      </c>
    </row>
    <row r="400" spans="1:9" x14ac:dyDescent="0.4">
      <c r="A400" s="2" t="s">
        <v>1574</v>
      </c>
      <c r="B400" s="2" t="s">
        <v>901</v>
      </c>
      <c r="C400" s="2" t="s">
        <v>1180</v>
      </c>
      <c r="D400" s="2">
        <v>2</v>
      </c>
      <c r="E400" s="2"/>
      <c r="F400" s="2">
        <v>9073</v>
      </c>
      <c r="G400" s="12">
        <v>45636</v>
      </c>
      <c r="H400" s="2">
        <v>9073</v>
      </c>
      <c r="I400" t="str">
        <f t="shared" si="6"/>
        <v>Dec</v>
      </c>
    </row>
    <row r="401" spans="1:9" x14ac:dyDescent="0.4">
      <c r="A401" s="2" t="s">
        <v>1575</v>
      </c>
      <c r="B401" s="2" t="s">
        <v>54</v>
      </c>
      <c r="C401" s="2" t="s">
        <v>1171</v>
      </c>
      <c r="D401" s="2">
        <v>2</v>
      </c>
      <c r="E401" s="2"/>
      <c r="F401" s="2"/>
      <c r="G401" s="12">
        <v>45278</v>
      </c>
      <c r="H401" s="2">
        <v>0</v>
      </c>
      <c r="I401" t="str">
        <f t="shared" si="6"/>
        <v>Dec</v>
      </c>
    </row>
    <row r="402" spans="1:9" x14ac:dyDescent="0.4">
      <c r="A402" s="2" t="s">
        <v>1576</v>
      </c>
      <c r="B402" s="2" t="s">
        <v>424</v>
      </c>
      <c r="C402" s="2" t="s">
        <v>1171</v>
      </c>
      <c r="D402" s="2">
        <v>5</v>
      </c>
      <c r="E402" s="2">
        <v>15000</v>
      </c>
      <c r="F402" s="2">
        <v>17415</v>
      </c>
      <c r="G402" s="12">
        <v>45004</v>
      </c>
      <c r="H402" s="2">
        <v>17415</v>
      </c>
      <c r="I402" t="str">
        <f t="shared" si="6"/>
        <v>Mar</v>
      </c>
    </row>
    <row r="403" spans="1:9" x14ac:dyDescent="0.4">
      <c r="A403" s="2" t="s">
        <v>1577</v>
      </c>
      <c r="B403" s="2" t="s">
        <v>900</v>
      </c>
      <c r="C403" s="2" t="s">
        <v>1173</v>
      </c>
      <c r="D403" s="2">
        <v>1</v>
      </c>
      <c r="E403" s="2">
        <v>15000</v>
      </c>
      <c r="F403" s="2"/>
      <c r="G403" s="12">
        <v>45082</v>
      </c>
      <c r="H403" s="2">
        <v>0</v>
      </c>
      <c r="I403" t="str">
        <f t="shared" si="6"/>
        <v>Jun</v>
      </c>
    </row>
    <row r="404" spans="1:9" x14ac:dyDescent="0.4">
      <c r="A404" s="2" t="s">
        <v>1578</v>
      </c>
      <c r="B404" s="2" t="s">
        <v>1032</v>
      </c>
      <c r="C404" s="2" t="s">
        <v>1180</v>
      </c>
      <c r="D404" s="2">
        <v>2</v>
      </c>
      <c r="E404" s="2">
        <v>10000</v>
      </c>
      <c r="F404" s="2"/>
      <c r="G404" s="12">
        <v>45302</v>
      </c>
      <c r="H404" s="2">
        <v>0</v>
      </c>
      <c r="I404" t="str">
        <f t="shared" si="6"/>
        <v>Jan</v>
      </c>
    </row>
    <row r="405" spans="1:9" x14ac:dyDescent="0.4">
      <c r="A405" s="2" t="s">
        <v>1579</v>
      </c>
      <c r="B405" s="2" t="s">
        <v>551</v>
      </c>
      <c r="C405" s="2" t="s">
        <v>1182</v>
      </c>
      <c r="D405" s="2">
        <v>4</v>
      </c>
      <c r="E405" s="2">
        <v>20000</v>
      </c>
      <c r="F405" s="2"/>
      <c r="G405" s="12">
        <v>45908</v>
      </c>
      <c r="H405" s="2">
        <v>0</v>
      </c>
      <c r="I405" t="str">
        <f t="shared" si="6"/>
        <v>Sep</v>
      </c>
    </row>
    <row r="406" spans="1:9" x14ac:dyDescent="0.4">
      <c r="A406" s="2" t="s">
        <v>1580</v>
      </c>
      <c r="B406" s="2" t="s">
        <v>204</v>
      </c>
      <c r="C406" s="2" t="s">
        <v>1173</v>
      </c>
      <c r="D406" s="2">
        <v>3</v>
      </c>
      <c r="E406" s="2"/>
      <c r="F406" s="2"/>
      <c r="G406" s="12">
        <v>45050</v>
      </c>
      <c r="H406" s="2">
        <v>0</v>
      </c>
      <c r="I406" t="str">
        <f t="shared" si="6"/>
        <v>May</v>
      </c>
    </row>
    <row r="407" spans="1:9" x14ac:dyDescent="0.4">
      <c r="A407" s="2" t="s">
        <v>1581</v>
      </c>
      <c r="B407" s="2" t="s">
        <v>612</v>
      </c>
      <c r="C407" s="2" t="s">
        <v>1173</v>
      </c>
      <c r="D407" s="2">
        <v>4</v>
      </c>
      <c r="E407" s="2">
        <v>20000</v>
      </c>
      <c r="F407" s="2">
        <v>57505</v>
      </c>
      <c r="G407" s="12">
        <v>45419</v>
      </c>
      <c r="H407" s="2">
        <v>57505</v>
      </c>
      <c r="I407" t="str">
        <f t="shared" si="6"/>
        <v>May</v>
      </c>
    </row>
    <row r="408" spans="1:9" x14ac:dyDescent="0.4">
      <c r="A408" s="2" t="s">
        <v>1582</v>
      </c>
      <c r="B408" s="2" t="s">
        <v>1058</v>
      </c>
      <c r="C408" s="2" t="s">
        <v>1180</v>
      </c>
      <c r="D408" s="2">
        <v>5</v>
      </c>
      <c r="E408" s="2">
        <v>15000</v>
      </c>
      <c r="F408" s="2"/>
      <c r="G408" s="12">
        <v>44992</v>
      </c>
      <c r="H408" s="2">
        <v>0</v>
      </c>
      <c r="I408" t="str">
        <f t="shared" si="6"/>
        <v>Mar</v>
      </c>
    </row>
    <row r="409" spans="1:9" x14ac:dyDescent="0.4">
      <c r="A409" s="2" t="s">
        <v>1583</v>
      </c>
      <c r="B409" s="2" t="s">
        <v>871</v>
      </c>
      <c r="C409" s="2" t="s">
        <v>1187</v>
      </c>
      <c r="D409" s="2">
        <v>1</v>
      </c>
      <c r="E409" s="2">
        <v>15000</v>
      </c>
      <c r="F409" s="2">
        <v>81326</v>
      </c>
      <c r="G409" s="12">
        <v>45215</v>
      </c>
      <c r="H409" s="2">
        <v>81326</v>
      </c>
      <c r="I409" t="str">
        <f t="shared" si="6"/>
        <v>Oct</v>
      </c>
    </row>
    <row r="410" spans="1:9" x14ac:dyDescent="0.4">
      <c r="A410" s="2" t="s">
        <v>1584</v>
      </c>
      <c r="B410" s="2" t="s">
        <v>1144</v>
      </c>
      <c r="C410" s="2" t="s">
        <v>1171</v>
      </c>
      <c r="D410" s="2">
        <v>5</v>
      </c>
      <c r="E410" s="2"/>
      <c r="F410" s="2"/>
      <c r="G410" s="12">
        <v>44985</v>
      </c>
      <c r="H410" s="2">
        <v>0</v>
      </c>
      <c r="I410" t="str">
        <f t="shared" si="6"/>
        <v>Feb</v>
      </c>
    </row>
    <row r="411" spans="1:9" x14ac:dyDescent="0.4">
      <c r="A411" s="2" t="s">
        <v>1585</v>
      </c>
      <c r="B411" s="2" t="s">
        <v>841</v>
      </c>
      <c r="C411" s="2" t="s">
        <v>1173</v>
      </c>
      <c r="D411" s="2">
        <v>3</v>
      </c>
      <c r="E411" s="2">
        <v>5000</v>
      </c>
      <c r="F411" s="2"/>
      <c r="G411" s="12">
        <v>45378</v>
      </c>
      <c r="H411" s="2">
        <v>0</v>
      </c>
      <c r="I411" t="str">
        <f t="shared" si="6"/>
        <v>Mar</v>
      </c>
    </row>
    <row r="412" spans="1:9" x14ac:dyDescent="0.4">
      <c r="A412" s="2" t="s">
        <v>1586</v>
      </c>
      <c r="B412" s="2" t="s">
        <v>342</v>
      </c>
      <c r="C412" s="2" t="s">
        <v>1187</v>
      </c>
      <c r="D412" s="2">
        <v>2</v>
      </c>
      <c r="E412" s="2"/>
      <c r="F412" s="2">
        <v>89670</v>
      </c>
      <c r="G412" s="12">
        <v>45113</v>
      </c>
      <c r="H412" s="2">
        <v>89670</v>
      </c>
      <c r="I412" t="str">
        <f t="shared" si="6"/>
        <v>Jul</v>
      </c>
    </row>
    <row r="413" spans="1:9" x14ac:dyDescent="0.4">
      <c r="A413" s="2" t="s">
        <v>1587</v>
      </c>
      <c r="B413" s="2" t="s">
        <v>189</v>
      </c>
      <c r="C413" s="2" t="s">
        <v>1180</v>
      </c>
      <c r="D413" s="2">
        <v>3</v>
      </c>
      <c r="E413" s="2">
        <v>15000</v>
      </c>
      <c r="F413" s="2"/>
      <c r="G413" s="12">
        <v>45657</v>
      </c>
      <c r="H413" s="2">
        <v>0</v>
      </c>
      <c r="I413" t="str">
        <f t="shared" si="6"/>
        <v>Dec</v>
      </c>
    </row>
    <row r="414" spans="1:9" x14ac:dyDescent="0.4">
      <c r="A414" s="2" t="s">
        <v>1588</v>
      </c>
      <c r="B414" s="2" t="s">
        <v>249</v>
      </c>
      <c r="C414" s="2" t="s">
        <v>1175</v>
      </c>
      <c r="D414" s="2"/>
      <c r="E414" s="2">
        <v>10000</v>
      </c>
      <c r="F414" s="2"/>
      <c r="G414" s="12">
        <v>45390</v>
      </c>
      <c r="H414" s="2">
        <v>0</v>
      </c>
      <c r="I414" t="str">
        <f t="shared" si="6"/>
        <v>Apr</v>
      </c>
    </row>
    <row r="415" spans="1:9" x14ac:dyDescent="0.4">
      <c r="A415" s="2" t="s">
        <v>1589</v>
      </c>
      <c r="B415" s="2" t="s">
        <v>900</v>
      </c>
      <c r="C415" s="2" t="s">
        <v>1187</v>
      </c>
      <c r="D415" s="2">
        <v>3</v>
      </c>
      <c r="E415" s="2">
        <v>5000</v>
      </c>
      <c r="F415" s="2">
        <v>10596</v>
      </c>
      <c r="G415" s="12">
        <v>45298</v>
      </c>
      <c r="H415" s="2">
        <v>10596</v>
      </c>
      <c r="I415" t="str">
        <f t="shared" si="6"/>
        <v>Jan</v>
      </c>
    </row>
    <row r="416" spans="1:9" x14ac:dyDescent="0.4">
      <c r="A416" s="2" t="s">
        <v>1590</v>
      </c>
      <c r="B416" s="2" t="s">
        <v>67</v>
      </c>
      <c r="C416" s="2" t="s">
        <v>1175</v>
      </c>
      <c r="D416" s="2"/>
      <c r="E416" s="2"/>
      <c r="F416" s="2"/>
      <c r="G416" s="12">
        <v>45574</v>
      </c>
      <c r="H416" s="2">
        <v>0</v>
      </c>
      <c r="I416" t="str">
        <f t="shared" si="6"/>
        <v>Oct</v>
      </c>
    </row>
    <row r="417" spans="1:9" x14ac:dyDescent="0.4">
      <c r="A417" s="2" t="s">
        <v>1591</v>
      </c>
      <c r="B417" s="2" t="s">
        <v>1095</v>
      </c>
      <c r="C417" s="2" t="s">
        <v>1175</v>
      </c>
      <c r="D417" s="2">
        <v>3</v>
      </c>
      <c r="E417" s="2">
        <v>20000</v>
      </c>
      <c r="F417" s="2">
        <v>80220</v>
      </c>
      <c r="G417" s="12">
        <v>45849</v>
      </c>
      <c r="H417" s="2">
        <v>80220</v>
      </c>
      <c r="I417" t="str">
        <f t="shared" si="6"/>
        <v>Jul</v>
      </c>
    </row>
    <row r="418" spans="1:9" x14ac:dyDescent="0.4">
      <c r="A418" s="2" t="s">
        <v>1592</v>
      </c>
      <c r="B418" s="2" t="s">
        <v>1139</v>
      </c>
      <c r="C418" s="2" t="s">
        <v>1180</v>
      </c>
      <c r="D418" s="2">
        <v>2</v>
      </c>
      <c r="E418" s="2">
        <v>5000</v>
      </c>
      <c r="F418" s="2">
        <v>99952</v>
      </c>
      <c r="G418" s="12">
        <v>45666</v>
      </c>
      <c r="H418" s="2">
        <v>99952</v>
      </c>
      <c r="I418" t="str">
        <f t="shared" si="6"/>
        <v>Jan</v>
      </c>
    </row>
    <row r="419" spans="1:9" x14ac:dyDescent="0.4">
      <c r="A419" s="2" t="s">
        <v>1593</v>
      </c>
      <c r="B419" s="2" t="s">
        <v>361</v>
      </c>
      <c r="C419" s="2" t="s">
        <v>1175</v>
      </c>
      <c r="D419" s="2"/>
      <c r="E419" s="2">
        <v>5000</v>
      </c>
      <c r="F419" s="2"/>
      <c r="G419" s="12">
        <v>45914</v>
      </c>
      <c r="H419" s="2">
        <v>0</v>
      </c>
      <c r="I419" t="str">
        <f t="shared" si="6"/>
        <v>Sep</v>
      </c>
    </row>
    <row r="420" spans="1:9" x14ac:dyDescent="0.4">
      <c r="A420" s="2" t="s">
        <v>1594</v>
      </c>
      <c r="B420" s="2" t="s">
        <v>342</v>
      </c>
      <c r="C420" s="2" t="s">
        <v>1175</v>
      </c>
      <c r="D420" s="2">
        <v>1</v>
      </c>
      <c r="E420" s="2"/>
      <c r="F420" s="2">
        <v>55165</v>
      </c>
      <c r="G420" s="12">
        <v>44985</v>
      </c>
      <c r="H420" s="2">
        <v>55165</v>
      </c>
      <c r="I420" t="str">
        <f t="shared" si="6"/>
        <v>Feb</v>
      </c>
    </row>
    <row r="421" spans="1:9" x14ac:dyDescent="0.4">
      <c r="A421" s="2" t="s">
        <v>1595</v>
      </c>
      <c r="B421" s="2" t="s">
        <v>108</v>
      </c>
      <c r="C421" s="2" t="s">
        <v>1171</v>
      </c>
      <c r="D421" s="2">
        <v>5</v>
      </c>
      <c r="E421" s="2">
        <v>5000</v>
      </c>
      <c r="F421" s="2">
        <v>27650</v>
      </c>
      <c r="G421" s="12">
        <v>45938</v>
      </c>
      <c r="H421" s="2">
        <v>27650</v>
      </c>
      <c r="I421" t="str">
        <f t="shared" si="6"/>
        <v>Oct</v>
      </c>
    </row>
    <row r="422" spans="1:9" x14ac:dyDescent="0.4">
      <c r="A422" s="2" t="s">
        <v>1596</v>
      </c>
      <c r="B422" s="2" t="s">
        <v>261</v>
      </c>
      <c r="C422" s="2" t="s">
        <v>1173</v>
      </c>
      <c r="D422" s="2">
        <v>5</v>
      </c>
      <c r="E422" s="2">
        <v>20000</v>
      </c>
      <c r="F422" s="2"/>
      <c r="G422" s="12">
        <v>45359</v>
      </c>
      <c r="H422" s="2">
        <v>0</v>
      </c>
      <c r="I422" t="str">
        <f t="shared" si="6"/>
        <v>Mar</v>
      </c>
    </row>
    <row r="423" spans="1:9" x14ac:dyDescent="0.4">
      <c r="A423" s="2" t="s">
        <v>1597</v>
      </c>
      <c r="B423" s="2" t="s">
        <v>117</v>
      </c>
      <c r="C423" s="2" t="s">
        <v>1180</v>
      </c>
      <c r="D423" s="2">
        <v>5</v>
      </c>
      <c r="E423" s="2">
        <v>15000</v>
      </c>
      <c r="F423" s="2">
        <v>41042</v>
      </c>
      <c r="G423" s="12">
        <v>44929</v>
      </c>
      <c r="H423" s="2">
        <v>41042</v>
      </c>
      <c r="I423" t="str">
        <f t="shared" si="6"/>
        <v>Jan</v>
      </c>
    </row>
    <row r="424" spans="1:9" x14ac:dyDescent="0.4">
      <c r="A424" s="2" t="s">
        <v>1598</v>
      </c>
      <c r="B424" s="2" t="s">
        <v>449</v>
      </c>
      <c r="C424" s="2" t="s">
        <v>1173</v>
      </c>
      <c r="D424" s="2">
        <v>4</v>
      </c>
      <c r="E424" s="2">
        <v>5000</v>
      </c>
      <c r="F424" s="2"/>
      <c r="G424" s="12">
        <v>45543</v>
      </c>
      <c r="H424" s="2">
        <v>0</v>
      </c>
      <c r="I424" t="str">
        <f t="shared" si="6"/>
        <v>Sep</v>
      </c>
    </row>
    <row r="425" spans="1:9" x14ac:dyDescent="0.4">
      <c r="A425" s="2" t="s">
        <v>1599</v>
      </c>
      <c r="B425" s="2" t="s">
        <v>905</v>
      </c>
      <c r="C425" s="2" t="s">
        <v>1175</v>
      </c>
      <c r="D425" s="2">
        <v>5</v>
      </c>
      <c r="E425" s="2">
        <v>15000</v>
      </c>
      <c r="F425" s="2"/>
      <c r="G425" s="12">
        <v>45026</v>
      </c>
      <c r="H425" s="2">
        <v>0</v>
      </c>
      <c r="I425" t="str">
        <f t="shared" si="6"/>
        <v>Apr</v>
      </c>
    </row>
    <row r="426" spans="1:9" x14ac:dyDescent="0.4">
      <c r="A426" s="2" t="s">
        <v>1600</v>
      </c>
      <c r="B426" s="2" t="s">
        <v>527</v>
      </c>
      <c r="C426" s="2" t="s">
        <v>1180</v>
      </c>
      <c r="D426" s="2">
        <v>2</v>
      </c>
      <c r="E426" s="2">
        <v>20000</v>
      </c>
      <c r="F426" s="2">
        <v>89840</v>
      </c>
      <c r="G426" s="12">
        <v>45965</v>
      </c>
      <c r="H426" s="2">
        <v>89840</v>
      </c>
      <c r="I426" t="str">
        <f t="shared" si="6"/>
        <v>Nov</v>
      </c>
    </row>
    <row r="427" spans="1:9" x14ac:dyDescent="0.4">
      <c r="A427" s="2" t="s">
        <v>1601</v>
      </c>
      <c r="B427" s="2" t="s">
        <v>320</v>
      </c>
      <c r="C427" s="2" t="s">
        <v>1173</v>
      </c>
      <c r="D427" s="2">
        <v>2</v>
      </c>
      <c r="E427" s="2"/>
      <c r="F427" s="2">
        <v>70390</v>
      </c>
      <c r="G427" s="12">
        <v>45679</v>
      </c>
      <c r="H427" s="2">
        <v>70390</v>
      </c>
      <c r="I427" t="str">
        <f t="shared" si="6"/>
        <v>Jan</v>
      </c>
    </row>
    <row r="428" spans="1:9" x14ac:dyDescent="0.4">
      <c r="A428" s="2" t="s">
        <v>1602</v>
      </c>
      <c r="B428" s="2" t="s">
        <v>390</v>
      </c>
      <c r="C428" s="2" t="s">
        <v>1175</v>
      </c>
      <c r="D428" s="2">
        <v>3</v>
      </c>
      <c r="E428" s="2">
        <v>10000</v>
      </c>
      <c r="F428" s="2">
        <v>77179</v>
      </c>
      <c r="G428" s="12">
        <v>45363</v>
      </c>
      <c r="H428" s="2">
        <v>77179</v>
      </c>
      <c r="I428" t="str">
        <f t="shared" si="6"/>
        <v>Mar</v>
      </c>
    </row>
    <row r="429" spans="1:9" x14ac:dyDescent="0.4">
      <c r="A429" s="2" t="s">
        <v>1603</v>
      </c>
      <c r="B429" s="2" t="s">
        <v>515</v>
      </c>
      <c r="C429" s="2" t="s">
        <v>1173</v>
      </c>
      <c r="D429" s="2">
        <v>4</v>
      </c>
      <c r="E429" s="2">
        <v>5000</v>
      </c>
      <c r="F429" s="2"/>
      <c r="G429" s="12">
        <v>45165</v>
      </c>
      <c r="H429" s="2">
        <v>0</v>
      </c>
      <c r="I429" t="str">
        <f t="shared" si="6"/>
        <v>Aug</v>
      </c>
    </row>
    <row r="430" spans="1:9" x14ac:dyDescent="0.4">
      <c r="A430" s="2" t="s">
        <v>1604</v>
      </c>
      <c r="B430" s="2" t="s">
        <v>556</v>
      </c>
      <c r="C430" s="2" t="s">
        <v>1187</v>
      </c>
      <c r="D430" s="2">
        <v>2</v>
      </c>
      <c r="E430" s="2">
        <v>10000</v>
      </c>
      <c r="F430" s="2">
        <v>41670</v>
      </c>
      <c r="G430" s="12">
        <v>45737</v>
      </c>
      <c r="H430" s="2">
        <v>41670</v>
      </c>
      <c r="I430" t="str">
        <f t="shared" si="6"/>
        <v>Mar</v>
      </c>
    </row>
    <row r="431" spans="1:9" x14ac:dyDescent="0.4">
      <c r="A431" s="2" t="s">
        <v>1605</v>
      </c>
      <c r="B431" s="2" t="s">
        <v>36</v>
      </c>
      <c r="C431" s="2" t="s">
        <v>1171</v>
      </c>
      <c r="D431" s="2">
        <v>2</v>
      </c>
      <c r="E431" s="2">
        <v>20000</v>
      </c>
      <c r="F431" s="2">
        <v>22987</v>
      </c>
      <c r="G431" s="12">
        <v>45897</v>
      </c>
      <c r="H431" s="2">
        <v>22987</v>
      </c>
      <c r="I431" t="str">
        <f t="shared" si="6"/>
        <v>Aug</v>
      </c>
    </row>
    <row r="432" spans="1:9" x14ac:dyDescent="0.4">
      <c r="A432" s="2" t="s">
        <v>1606</v>
      </c>
      <c r="B432" s="2" t="s">
        <v>202</v>
      </c>
      <c r="C432" s="2" t="s">
        <v>1182</v>
      </c>
      <c r="D432" s="2"/>
      <c r="E432" s="2">
        <v>5000</v>
      </c>
      <c r="F432" s="2"/>
      <c r="G432" s="12">
        <v>45842</v>
      </c>
      <c r="H432" s="2">
        <v>0</v>
      </c>
      <c r="I432" t="str">
        <f t="shared" si="6"/>
        <v>Jul</v>
      </c>
    </row>
    <row r="433" spans="1:9" x14ac:dyDescent="0.4">
      <c r="A433" s="2" t="s">
        <v>1607</v>
      </c>
      <c r="B433" s="2" t="s">
        <v>1151</v>
      </c>
      <c r="C433" s="2" t="s">
        <v>1175</v>
      </c>
      <c r="D433" s="2">
        <v>5</v>
      </c>
      <c r="E433" s="2">
        <v>15000</v>
      </c>
      <c r="F433" s="2"/>
      <c r="G433" s="12">
        <v>44925</v>
      </c>
      <c r="H433" s="2">
        <v>0</v>
      </c>
      <c r="I433" t="str">
        <f t="shared" si="6"/>
        <v>Dec</v>
      </c>
    </row>
    <row r="434" spans="1:9" x14ac:dyDescent="0.4">
      <c r="A434" s="2" t="s">
        <v>1608</v>
      </c>
      <c r="B434" s="2" t="s">
        <v>589</v>
      </c>
      <c r="C434" s="2" t="s">
        <v>1187</v>
      </c>
      <c r="D434" s="2">
        <v>1</v>
      </c>
      <c r="E434" s="2">
        <v>15000</v>
      </c>
      <c r="F434" s="2">
        <v>55134</v>
      </c>
      <c r="G434" s="12">
        <v>45855</v>
      </c>
      <c r="H434" s="2">
        <v>55134</v>
      </c>
      <c r="I434" t="str">
        <f t="shared" si="6"/>
        <v>Jul</v>
      </c>
    </row>
    <row r="435" spans="1:9" x14ac:dyDescent="0.4">
      <c r="A435" s="2" t="s">
        <v>1609</v>
      </c>
      <c r="B435" s="2" t="s">
        <v>545</v>
      </c>
      <c r="C435" s="2" t="s">
        <v>1180</v>
      </c>
      <c r="D435" s="2">
        <v>5</v>
      </c>
      <c r="E435" s="2">
        <v>10000</v>
      </c>
      <c r="F435" s="2">
        <v>67873</v>
      </c>
      <c r="G435" s="12">
        <v>45844</v>
      </c>
      <c r="H435" s="2">
        <v>67873</v>
      </c>
      <c r="I435" t="str">
        <f t="shared" si="6"/>
        <v>Jul</v>
      </c>
    </row>
    <row r="436" spans="1:9" x14ac:dyDescent="0.4">
      <c r="A436" s="2" t="s">
        <v>1610</v>
      </c>
      <c r="B436" s="2" t="s">
        <v>338</v>
      </c>
      <c r="C436" s="2" t="s">
        <v>1180</v>
      </c>
      <c r="D436" s="2">
        <v>1</v>
      </c>
      <c r="E436" s="2">
        <v>5000</v>
      </c>
      <c r="F436" s="2">
        <v>50093</v>
      </c>
      <c r="G436" s="12">
        <v>44882</v>
      </c>
      <c r="H436" s="2">
        <v>50093</v>
      </c>
      <c r="I436" t="str">
        <f t="shared" si="6"/>
        <v>Nov</v>
      </c>
    </row>
    <row r="437" spans="1:9" x14ac:dyDescent="0.4">
      <c r="A437" s="2" t="s">
        <v>1611</v>
      </c>
      <c r="B437" s="2" t="s">
        <v>418</v>
      </c>
      <c r="C437" s="2" t="s">
        <v>1187</v>
      </c>
      <c r="D437" s="2">
        <v>4</v>
      </c>
      <c r="E437" s="2">
        <v>10000</v>
      </c>
      <c r="F437" s="2">
        <v>55905</v>
      </c>
      <c r="G437" s="12">
        <v>45252</v>
      </c>
      <c r="H437" s="2">
        <v>55905</v>
      </c>
      <c r="I437" t="str">
        <f t="shared" si="6"/>
        <v>Nov</v>
      </c>
    </row>
    <row r="438" spans="1:9" x14ac:dyDescent="0.4">
      <c r="A438" s="2" t="s">
        <v>1612</v>
      </c>
      <c r="B438" s="2" t="s">
        <v>403</v>
      </c>
      <c r="C438" s="2" t="s">
        <v>1171</v>
      </c>
      <c r="D438" s="2">
        <v>2</v>
      </c>
      <c r="E438" s="2">
        <v>5000</v>
      </c>
      <c r="F438" s="2"/>
      <c r="G438" s="12">
        <v>45082</v>
      </c>
      <c r="H438" s="2">
        <v>0</v>
      </c>
      <c r="I438" t="str">
        <f t="shared" si="6"/>
        <v>Jun</v>
      </c>
    </row>
    <row r="439" spans="1:9" x14ac:dyDescent="0.4">
      <c r="A439" s="2" t="s">
        <v>1613</v>
      </c>
      <c r="B439" s="2" t="s">
        <v>405</v>
      </c>
      <c r="C439" s="2" t="s">
        <v>1180</v>
      </c>
      <c r="D439" s="2">
        <v>1</v>
      </c>
      <c r="E439" s="2"/>
      <c r="F439" s="2"/>
      <c r="G439" s="12">
        <v>45780</v>
      </c>
      <c r="H439" s="2">
        <v>0</v>
      </c>
      <c r="I439" t="str">
        <f t="shared" si="6"/>
        <v>May</v>
      </c>
    </row>
    <row r="440" spans="1:9" x14ac:dyDescent="0.4">
      <c r="A440" s="2" t="s">
        <v>1614</v>
      </c>
      <c r="B440" s="2" t="s">
        <v>891</v>
      </c>
      <c r="C440" s="2" t="s">
        <v>1171</v>
      </c>
      <c r="D440" s="2">
        <v>3</v>
      </c>
      <c r="E440" s="2">
        <v>15000</v>
      </c>
      <c r="F440" s="2">
        <v>8840</v>
      </c>
      <c r="G440" s="12">
        <v>45454</v>
      </c>
      <c r="H440" s="2">
        <v>8840</v>
      </c>
      <c r="I440" t="str">
        <f t="shared" si="6"/>
        <v>Jun</v>
      </c>
    </row>
    <row r="441" spans="1:9" x14ac:dyDescent="0.4">
      <c r="A441" s="2" t="s">
        <v>1615</v>
      </c>
      <c r="B441" s="2" t="s">
        <v>475</v>
      </c>
      <c r="C441" s="2" t="s">
        <v>1175</v>
      </c>
      <c r="D441" s="2">
        <v>1</v>
      </c>
      <c r="E441" s="2">
        <v>10000</v>
      </c>
      <c r="F441" s="2">
        <v>12679</v>
      </c>
      <c r="G441" s="12">
        <v>45212</v>
      </c>
      <c r="H441" s="2">
        <v>12679</v>
      </c>
      <c r="I441" t="str">
        <f t="shared" si="6"/>
        <v>Oct</v>
      </c>
    </row>
    <row r="442" spans="1:9" x14ac:dyDescent="0.4">
      <c r="A442" s="2" t="s">
        <v>1616</v>
      </c>
      <c r="B442" s="2" t="s">
        <v>1006</v>
      </c>
      <c r="C442" s="2" t="s">
        <v>1175</v>
      </c>
      <c r="D442" s="2">
        <v>4</v>
      </c>
      <c r="E442" s="2">
        <v>15000</v>
      </c>
      <c r="F442" s="2">
        <v>74393</v>
      </c>
      <c r="G442" s="12">
        <v>45916</v>
      </c>
      <c r="H442" s="2">
        <v>74393</v>
      </c>
      <c r="I442" t="str">
        <f t="shared" si="6"/>
        <v>Sep</v>
      </c>
    </row>
    <row r="443" spans="1:9" x14ac:dyDescent="0.4">
      <c r="A443" s="2" t="s">
        <v>1617</v>
      </c>
      <c r="B443" s="2" t="s">
        <v>77</v>
      </c>
      <c r="C443" s="2" t="s">
        <v>1187</v>
      </c>
      <c r="D443" s="2">
        <v>5</v>
      </c>
      <c r="E443" s="2">
        <v>15000</v>
      </c>
      <c r="F443" s="2"/>
      <c r="G443" s="12">
        <v>45173</v>
      </c>
      <c r="H443" s="2">
        <v>0</v>
      </c>
      <c r="I443" t="str">
        <f t="shared" si="6"/>
        <v>Sep</v>
      </c>
    </row>
    <row r="444" spans="1:9" x14ac:dyDescent="0.4">
      <c r="A444" s="2" t="s">
        <v>1618</v>
      </c>
      <c r="B444" s="2" t="s">
        <v>398</v>
      </c>
      <c r="C444" s="2" t="s">
        <v>1187</v>
      </c>
      <c r="D444" s="2">
        <v>1</v>
      </c>
      <c r="E444" s="2">
        <v>20000</v>
      </c>
      <c r="F444" s="2"/>
      <c r="G444" s="12">
        <v>45282</v>
      </c>
      <c r="H444" s="2">
        <v>0</v>
      </c>
      <c r="I444" t="str">
        <f t="shared" si="6"/>
        <v>Dec</v>
      </c>
    </row>
    <row r="445" spans="1:9" x14ac:dyDescent="0.4">
      <c r="A445" s="2" t="s">
        <v>1619</v>
      </c>
      <c r="B445" s="2" t="s">
        <v>969</v>
      </c>
      <c r="C445" s="2" t="s">
        <v>1171</v>
      </c>
      <c r="D445" s="2">
        <v>3</v>
      </c>
      <c r="E445" s="2">
        <v>5000</v>
      </c>
      <c r="F445" s="2"/>
      <c r="G445" s="12">
        <v>45600</v>
      </c>
      <c r="H445" s="2">
        <v>0</v>
      </c>
      <c r="I445" t="str">
        <f t="shared" si="6"/>
        <v>Nov</v>
      </c>
    </row>
    <row r="446" spans="1:9" x14ac:dyDescent="0.4">
      <c r="A446" s="2" t="s">
        <v>1620</v>
      </c>
      <c r="B446" s="2" t="s">
        <v>782</v>
      </c>
      <c r="C446" s="2" t="s">
        <v>1175</v>
      </c>
      <c r="D446" s="2"/>
      <c r="E446" s="2">
        <v>10000</v>
      </c>
      <c r="F446" s="2"/>
      <c r="G446" s="12">
        <v>45105</v>
      </c>
      <c r="H446" s="2">
        <v>0</v>
      </c>
      <c r="I446" t="str">
        <f t="shared" si="6"/>
        <v>Jun</v>
      </c>
    </row>
    <row r="447" spans="1:9" x14ac:dyDescent="0.4">
      <c r="A447" s="2" t="s">
        <v>1621</v>
      </c>
      <c r="B447" s="2" t="s">
        <v>1160</v>
      </c>
      <c r="C447" s="2" t="s">
        <v>1175</v>
      </c>
      <c r="D447" s="2">
        <v>2</v>
      </c>
      <c r="E447" s="2">
        <v>20000</v>
      </c>
      <c r="F447" s="2">
        <v>33758</v>
      </c>
      <c r="G447" s="12">
        <v>45622</v>
      </c>
      <c r="H447" s="2">
        <v>33758</v>
      </c>
      <c r="I447" t="str">
        <f t="shared" si="6"/>
        <v>Nov</v>
      </c>
    </row>
    <row r="448" spans="1:9" x14ac:dyDescent="0.4">
      <c r="A448" s="2" t="s">
        <v>1622</v>
      </c>
      <c r="B448" s="2" t="s">
        <v>839</v>
      </c>
      <c r="C448" s="2" t="s">
        <v>1187</v>
      </c>
      <c r="D448" s="2">
        <v>4</v>
      </c>
      <c r="E448" s="2">
        <v>10000</v>
      </c>
      <c r="F448" s="2"/>
      <c r="G448" s="12">
        <v>45160</v>
      </c>
      <c r="H448" s="2">
        <v>0</v>
      </c>
      <c r="I448" t="str">
        <f t="shared" si="6"/>
        <v>Aug</v>
      </c>
    </row>
    <row r="449" spans="1:9" x14ac:dyDescent="0.4">
      <c r="A449" s="2" t="s">
        <v>1623</v>
      </c>
      <c r="B449" s="2" t="s">
        <v>792</v>
      </c>
      <c r="C449" s="2" t="s">
        <v>1180</v>
      </c>
      <c r="D449" s="2"/>
      <c r="E449" s="2">
        <v>5000</v>
      </c>
      <c r="F449" s="2"/>
      <c r="G449" s="12">
        <v>45641</v>
      </c>
      <c r="H449" s="2">
        <v>0</v>
      </c>
      <c r="I449" t="str">
        <f t="shared" si="6"/>
        <v>Dec</v>
      </c>
    </row>
    <row r="450" spans="1:9" x14ac:dyDescent="0.4">
      <c r="A450" s="2" t="s">
        <v>1624</v>
      </c>
      <c r="B450" s="2" t="s">
        <v>1163</v>
      </c>
      <c r="C450" s="2" t="s">
        <v>1182</v>
      </c>
      <c r="D450" s="2"/>
      <c r="E450" s="2">
        <v>15000</v>
      </c>
      <c r="F450" s="2">
        <v>82662</v>
      </c>
      <c r="G450" s="12">
        <v>45309</v>
      </c>
      <c r="H450" s="2">
        <v>82662</v>
      </c>
      <c r="I450" t="str">
        <f t="shared" si="6"/>
        <v>Jan</v>
      </c>
    </row>
    <row r="451" spans="1:9" x14ac:dyDescent="0.4">
      <c r="A451" s="2" t="s">
        <v>1625</v>
      </c>
      <c r="B451" s="2" t="s">
        <v>740</v>
      </c>
      <c r="C451" s="2" t="s">
        <v>1187</v>
      </c>
      <c r="D451" s="2"/>
      <c r="E451" s="2"/>
      <c r="F451" s="2">
        <v>96439</v>
      </c>
      <c r="G451" s="12">
        <v>45074</v>
      </c>
      <c r="H451" s="2">
        <v>96439</v>
      </c>
      <c r="I451" t="str">
        <f t="shared" ref="I451:I501" si="7">TEXT(G451,"mmm")</f>
        <v>May</v>
      </c>
    </row>
    <row r="452" spans="1:9" x14ac:dyDescent="0.4">
      <c r="A452" s="2" t="s">
        <v>1626</v>
      </c>
      <c r="B452" s="2" t="s">
        <v>749</v>
      </c>
      <c r="C452" s="2" t="s">
        <v>1182</v>
      </c>
      <c r="D452" s="2">
        <v>2</v>
      </c>
      <c r="E452" s="2">
        <v>15000</v>
      </c>
      <c r="F452" s="2"/>
      <c r="G452" s="12">
        <v>45178</v>
      </c>
      <c r="H452" s="2">
        <v>0</v>
      </c>
      <c r="I452" t="str">
        <f t="shared" si="7"/>
        <v>Sep</v>
      </c>
    </row>
    <row r="453" spans="1:9" x14ac:dyDescent="0.4">
      <c r="A453" s="2" t="s">
        <v>1627</v>
      </c>
      <c r="B453" s="2" t="s">
        <v>516</v>
      </c>
      <c r="C453" s="2" t="s">
        <v>1175</v>
      </c>
      <c r="D453" s="2">
        <v>2</v>
      </c>
      <c r="E453" s="2">
        <v>20000</v>
      </c>
      <c r="F453" s="2">
        <v>97202</v>
      </c>
      <c r="G453" s="12">
        <v>45856</v>
      </c>
      <c r="H453" s="2">
        <v>97202</v>
      </c>
      <c r="I453" t="str">
        <f t="shared" si="7"/>
        <v>Jul</v>
      </c>
    </row>
    <row r="454" spans="1:9" x14ac:dyDescent="0.4">
      <c r="A454" s="2" t="s">
        <v>1628</v>
      </c>
      <c r="B454" s="2" t="s">
        <v>689</v>
      </c>
      <c r="C454" s="2" t="s">
        <v>1187</v>
      </c>
      <c r="D454" s="2">
        <v>5</v>
      </c>
      <c r="E454" s="2">
        <v>15000</v>
      </c>
      <c r="F454" s="2"/>
      <c r="G454" s="12">
        <v>45007</v>
      </c>
      <c r="H454" s="2">
        <v>0</v>
      </c>
      <c r="I454" t="str">
        <f t="shared" si="7"/>
        <v>Mar</v>
      </c>
    </row>
    <row r="455" spans="1:9" x14ac:dyDescent="0.4">
      <c r="A455" s="2" t="s">
        <v>1629</v>
      </c>
      <c r="B455" s="2" t="s">
        <v>316</v>
      </c>
      <c r="C455" s="2" t="s">
        <v>1180</v>
      </c>
      <c r="D455" s="2">
        <v>5</v>
      </c>
      <c r="E455" s="2"/>
      <c r="F455" s="2"/>
      <c r="G455" s="12">
        <v>45672</v>
      </c>
      <c r="H455" s="2">
        <v>0</v>
      </c>
      <c r="I455" t="str">
        <f t="shared" si="7"/>
        <v>Jan</v>
      </c>
    </row>
    <row r="456" spans="1:9" x14ac:dyDescent="0.4">
      <c r="A456" s="2" t="s">
        <v>1630</v>
      </c>
      <c r="B456" s="2" t="s">
        <v>193</v>
      </c>
      <c r="C456" s="2" t="s">
        <v>1180</v>
      </c>
      <c r="D456" s="2">
        <v>2</v>
      </c>
      <c r="E456" s="2">
        <v>20000</v>
      </c>
      <c r="F456" s="2">
        <v>69517</v>
      </c>
      <c r="G456" s="12">
        <v>45202</v>
      </c>
      <c r="H456" s="2">
        <v>69517</v>
      </c>
      <c r="I456" t="str">
        <f t="shared" si="7"/>
        <v>Oct</v>
      </c>
    </row>
    <row r="457" spans="1:9" x14ac:dyDescent="0.4">
      <c r="A457" s="2" t="s">
        <v>1631</v>
      </c>
      <c r="B457" s="2" t="s">
        <v>585</v>
      </c>
      <c r="C457" s="2" t="s">
        <v>1171</v>
      </c>
      <c r="D457" s="2">
        <v>2</v>
      </c>
      <c r="E457" s="2">
        <v>5000</v>
      </c>
      <c r="F457" s="2">
        <v>28010</v>
      </c>
      <c r="G457" s="12">
        <v>44874</v>
      </c>
      <c r="H457" s="2">
        <v>28010</v>
      </c>
      <c r="I457" t="str">
        <f t="shared" si="7"/>
        <v>Nov</v>
      </c>
    </row>
    <row r="458" spans="1:9" x14ac:dyDescent="0.4">
      <c r="A458" s="2" t="s">
        <v>1632</v>
      </c>
      <c r="B458" s="2" t="s">
        <v>951</v>
      </c>
      <c r="C458" s="2" t="s">
        <v>1173</v>
      </c>
      <c r="D458" s="2">
        <v>5</v>
      </c>
      <c r="E458" s="2"/>
      <c r="F458" s="2"/>
      <c r="G458" s="12">
        <v>45544</v>
      </c>
      <c r="H458" s="2">
        <v>0</v>
      </c>
      <c r="I458" t="str">
        <f t="shared" si="7"/>
        <v>Sep</v>
      </c>
    </row>
    <row r="459" spans="1:9" x14ac:dyDescent="0.4">
      <c r="A459" s="2" t="s">
        <v>1633</v>
      </c>
      <c r="B459" s="2" t="s">
        <v>1032</v>
      </c>
      <c r="C459" s="2" t="s">
        <v>1175</v>
      </c>
      <c r="D459" s="2">
        <v>2</v>
      </c>
      <c r="E459" s="2">
        <v>20000</v>
      </c>
      <c r="F459" s="2"/>
      <c r="G459" s="12">
        <v>44974</v>
      </c>
      <c r="H459" s="2">
        <v>0</v>
      </c>
      <c r="I459" t="str">
        <f t="shared" si="7"/>
        <v>Feb</v>
      </c>
    </row>
    <row r="460" spans="1:9" x14ac:dyDescent="0.4">
      <c r="A460" s="2" t="s">
        <v>1634</v>
      </c>
      <c r="B460" s="2" t="s">
        <v>437</v>
      </c>
      <c r="C460" s="2" t="s">
        <v>1175</v>
      </c>
      <c r="D460" s="2"/>
      <c r="E460" s="2">
        <v>5000</v>
      </c>
      <c r="F460" s="2"/>
      <c r="G460" s="12">
        <v>45632</v>
      </c>
      <c r="H460" s="2">
        <v>0</v>
      </c>
      <c r="I460" t="str">
        <f t="shared" si="7"/>
        <v>Dec</v>
      </c>
    </row>
    <row r="461" spans="1:9" x14ac:dyDescent="0.4">
      <c r="A461" s="2" t="s">
        <v>1635</v>
      </c>
      <c r="B461" s="2" t="s">
        <v>402</v>
      </c>
      <c r="C461" s="2" t="s">
        <v>1187</v>
      </c>
      <c r="D461" s="2">
        <v>4</v>
      </c>
      <c r="E461" s="2">
        <v>15000</v>
      </c>
      <c r="F461" s="2">
        <v>7612</v>
      </c>
      <c r="G461" s="12">
        <v>45736</v>
      </c>
      <c r="H461" s="2">
        <v>7612</v>
      </c>
      <c r="I461" t="str">
        <f t="shared" si="7"/>
        <v>Mar</v>
      </c>
    </row>
    <row r="462" spans="1:9" x14ac:dyDescent="0.4">
      <c r="A462" s="2" t="s">
        <v>1636</v>
      </c>
      <c r="B462" s="2" t="s">
        <v>242</v>
      </c>
      <c r="C462" s="2" t="s">
        <v>1173</v>
      </c>
      <c r="D462" s="2">
        <v>5</v>
      </c>
      <c r="E462" s="2">
        <v>15000</v>
      </c>
      <c r="F462" s="2">
        <v>5089</v>
      </c>
      <c r="G462" s="12">
        <v>45819</v>
      </c>
      <c r="H462" s="2">
        <v>5089</v>
      </c>
      <c r="I462" t="str">
        <f t="shared" si="7"/>
        <v>Jun</v>
      </c>
    </row>
    <row r="463" spans="1:9" x14ac:dyDescent="0.4">
      <c r="A463" s="2" t="s">
        <v>1637</v>
      </c>
      <c r="B463" s="2" t="s">
        <v>108</v>
      </c>
      <c r="C463" s="2" t="s">
        <v>1173</v>
      </c>
      <c r="D463" s="2">
        <v>3</v>
      </c>
      <c r="E463" s="2">
        <v>5000</v>
      </c>
      <c r="F463" s="2"/>
      <c r="G463" s="12">
        <v>45193</v>
      </c>
      <c r="H463" s="2">
        <v>0</v>
      </c>
      <c r="I463" t="str">
        <f t="shared" si="7"/>
        <v>Sep</v>
      </c>
    </row>
    <row r="464" spans="1:9" x14ac:dyDescent="0.4">
      <c r="A464" s="2" t="s">
        <v>1638</v>
      </c>
      <c r="B464" s="2" t="s">
        <v>304</v>
      </c>
      <c r="C464" s="2" t="s">
        <v>1173</v>
      </c>
      <c r="D464" s="2">
        <v>3</v>
      </c>
      <c r="E464" s="2">
        <v>10000</v>
      </c>
      <c r="F464" s="2">
        <v>22103</v>
      </c>
      <c r="G464" s="12">
        <v>45146</v>
      </c>
      <c r="H464" s="2">
        <v>22103</v>
      </c>
      <c r="I464" t="str">
        <f t="shared" si="7"/>
        <v>Aug</v>
      </c>
    </row>
    <row r="465" spans="1:9" x14ac:dyDescent="0.4">
      <c r="A465" s="2" t="s">
        <v>1639</v>
      </c>
      <c r="B465" s="2" t="s">
        <v>1048</v>
      </c>
      <c r="C465" s="2" t="s">
        <v>1187</v>
      </c>
      <c r="D465" s="2">
        <v>1</v>
      </c>
      <c r="E465" s="2">
        <v>5000</v>
      </c>
      <c r="F465" s="2"/>
      <c r="G465" s="12">
        <v>44930</v>
      </c>
      <c r="H465" s="2">
        <v>0</v>
      </c>
      <c r="I465" t="str">
        <f t="shared" si="7"/>
        <v>Jan</v>
      </c>
    </row>
    <row r="466" spans="1:9" x14ac:dyDescent="0.4">
      <c r="A466" s="2" t="s">
        <v>1640</v>
      </c>
      <c r="B466" s="2" t="s">
        <v>414</v>
      </c>
      <c r="C466" s="2" t="s">
        <v>1187</v>
      </c>
      <c r="D466" s="2">
        <v>5</v>
      </c>
      <c r="E466" s="2">
        <v>5000</v>
      </c>
      <c r="F466" s="2"/>
      <c r="G466" s="12">
        <v>45519</v>
      </c>
      <c r="H466" s="2">
        <v>0</v>
      </c>
      <c r="I466" t="str">
        <f t="shared" si="7"/>
        <v>Aug</v>
      </c>
    </row>
    <row r="467" spans="1:9" x14ac:dyDescent="0.4">
      <c r="A467" s="2" t="s">
        <v>1641</v>
      </c>
      <c r="B467" s="2" t="s">
        <v>522</v>
      </c>
      <c r="C467" s="2" t="s">
        <v>1182</v>
      </c>
      <c r="D467" s="2">
        <v>4</v>
      </c>
      <c r="E467" s="2">
        <v>15000</v>
      </c>
      <c r="F467" s="2"/>
      <c r="G467" s="12">
        <v>45938</v>
      </c>
      <c r="H467" s="2">
        <v>0</v>
      </c>
      <c r="I467" t="str">
        <f t="shared" si="7"/>
        <v>Oct</v>
      </c>
    </row>
    <row r="468" spans="1:9" x14ac:dyDescent="0.4">
      <c r="A468" s="2" t="s">
        <v>1642</v>
      </c>
      <c r="B468" s="2" t="s">
        <v>163</v>
      </c>
      <c r="C468" s="2" t="s">
        <v>1182</v>
      </c>
      <c r="D468" s="2">
        <v>5</v>
      </c>
      <c r="E468" s="2">
        <v>10000</v>
      </c>
      <c r="F468" s="2"/>
      <c r="G468" s="12">
        <v>45278</v>
      </c>
      <c r="H468" s="2">
        <v>0</v>
      </c>
      <c r="I468" t="str">
        <f t="shared" si="7"/>
        <v>Dec</v>
      </c>
    </row>
    <row r="469" spans="1:9" x14ac:dyDescent="0.4">
      <c r="A469" s="2" t="s">
        <v>1643</v>
      </c>
      <c r="B469" s="2" t="s">
        <v>1114</v>
      </c>
      <c r="C469" s="2" t="s">
        <v>1182</v>
      </c>
      <c r="D469" s="2">
        <v>2</v>
      </c>
      <c r="E469" s="2">
        <v>20000</v>
      </c>
      <c r="F469" s="2">
        <v>19538</v>
      </c>
      <c r="G469" s="12">
        <v>45822</v>
      </c>
      <c r="H469" s="2">
        <v>19538</v>
      </c>
      <c r="I469" t="str">
        <f t="shared" si="7"/>
        <v>Jun</v>
      </c>
    </row>
    <row r="470" spans="1:9" x14ac:dyDescent="0.4">
      <c r="A470" s="2" t="s">
        <v>1644</v>
      </c>
      <c r="B470" s="2" t="s">
        <v>1062</v>
      </c>
      <c r="C470" s="2" t="s">
        <v>1171</v>
      </c>
      <c r="D470" s="2"/>
      <c r="E470" s="2">
        <v>20000</v>
      </c>
      <c r="F470" s="2">
        <v>14506</v>
      </c>
      <c r="G470" s="12">
        <v>45460</v>
      </c>
      <c r="H470" s="2">
        <v>14506</v>
      </c>
      <c r="I470" t="str">
        <f t="shared" si="7"/>
        <v>Jun</v>
      </c>
    </row>
    <row r="471" spans="1:9" x14ac:dyDescent="0.4">
      <c r="A471" s="2" t="s">
        <v>1645</v>
      </c>
      <c r="B471" s="2" t="s">
        <v>835</v>
      </c>
      <c r="C471" s="2" t="s">
        <v>1175</v>
      </c>
      <c r="D471" s="2">
        <v>1</v>
      </c>
      <c r="E471" s="2">
        <v>5000</v>
      </c>
      <c r="F471" s="2">
        <v>97345</v>
      </c>
      <c r="G471" s="12">
        <v>45850</v>
      </c>
      <c r="H471" s="2">
        <v>97345</v>
      </c>
      <c r="I471" t="str">
        <f t="shared" si="7"/>
        <v>Jul</v>
      </c>
    </row>
    <row r="472" spans="1:9" x14ac:dyDescent="0.4">
      <c r="A472" s="2" t="s">
        <v>1646</v>
      </c>
      <c r="B472" s="2" t="s">
        <v>7</v>
      </c>
      <c r="C472" s="2" t="s">
        <v>1182</v>
      </c>
      <c r="D472" s="2">
        <v>3</v>
      </c>
      <c r="E472" s="2">
        <v>10000</v>
      </c>
      <c r="F472" s="2"/>
      <c r="G472" s="12">
        <v>45777</v>
      </c>
      <c r="H472" s="2">
        <v>0</v>
      </c>
      <c r="I472" t="str">
        <f t="shared" si="7"/>
        <v>Apr</v>
      </c>
    </row>
    <row r="473" spans="1:9" x14ac:dyDescent="0.4">
      <c r="A473" s="2" t="s">
        <v>1647</v>
      </c>
      <c r="B473" s="2" t="s">
        <v>880</v>
      </c>
      <c r="C473" s="2" t="s">
        <v>1171</v>
      </c>
      <c r="D473" s="2">
        <v>2</v>
      </c>
      <c r="E473" s="2">
        <v>10000</v>
      </c>
      <c r="F473" s="2">
        <v>49113</v>
      </c>
      <c r="G473" s="12">
        <v>45234</v>
      </c>
      <c r="H473" s="2">
        <v>49113</v>
      </c>
      <c r="I473" t="str">
        <f t="shared" si="7"/>
        <v>Nov</v>
      </c>
    </row>
    <row r="474" spans="1:9" x14ac:dyDescent="0.4">
      <c r="A474" s="2" t="s">
        <v>1648</v>
      </c>
      <c r="B474" s="2" t="s">
        <v>809</v>
      </c>
      <c r="C474" s="2" t="s">
        <v>1171</v>
      </c>
      <c r="D474" s="2">
        <v>2</v>
      </c>
      <c r="E474" s="2">
        <v>15000</v>
      </c>
      <c r="F474" s="2"/>
      <c r="G474" s="12">
        <v>45860</v>
      </c>
      <c r="H474" s="2">
        <v>0</v>
      </c>
      <c r="I474" t="str">
        <f t="shared" si="7"/>
        <v>Jul</v>
      </c>
    </row>
    <row r="475" spans="1:9" x14ac:dyDescent="0.4">
      <c r="A475" s="2" t="s">
        <v>1649</v>
      </c>
      <c r="B475" s="2" t="s">
        <v>462</v>
      </c>
      <c r="C475" s="2" t="s">
        <v>1187</v>
      </c>
      <c r="D475" s="2"/>
      <c r="E475" s="2">
        <v>15000</v>
      </c>
      <c r="F475" s="2">
        <v>25644</v>
      </c>
      <c r="G475" s="12">
        <v>45411</v>
      </c>
      <c r="H475" s="2">
        <v>25644</v>
      </c>
      <c r="I475" t="str">
        <f t="shared" si="7"/>
        <v>Apr</v>
      </c>
    </row>
    <row r="476" spans="1:9" x14ac:dyDescent="0.4">
      <c r="A476" s="2" t="s">
        <v>1650</v>
      </c>
      <c r="B476" s="2" t="s">
        <v>1126</v>
      </c>
      <c r="C476" s="2" t="s">
        <v>1173</v>
      </c>
      <c r="D476" s="2">
        <v>5</v>
      </c>
      <c r="E476" s="2">
        <v>20000</v>
      </c>
      <c r="F476" s="2">
        <v>88789</v>
      </c>
      <c r="G476" s="12">
        <v>45622</v>
      </c>
      <c r="H476" s="2">
        <v>88789</v>
      </c>
      <c r="I476" t="str">
        <f t="shared" si="7"/>
        <v>Nov</v>
      </c>
    </row>
    <row r="477" spans="1:9" x14ac:dyDescent="0.4">
      <c r="A477" s="2" t="s">
        <v>1651</v>
      </c>
      <c r="B477" s="2" t="s">
        <v>463</v>
      </c>
      <c r="C477" s="2" t="s">
        <v>1180</v>
      </c>
      <c r="D477" s="2">
        <v>5</v>
      </c>
      <c r="E477" s="2">
        <v>15000</v>
      </c>
      <c r="F477" s="2">
        <v>90089</v>
      </c>
      <c r="G477" s="12">
        <v>45694</v>
      </c>
      <c r="H477" s="2">
        <v>90089</v>
      </c>
      <c r="I477" t="str">
        <f t="shared" si="7"/>
        <v>Feb</v>
      </c>
    </row>
    <row r="478" spans="1:9" x14ac:dyDescent="0.4">
      <c r="A478" s="2" t="s">
        <v>1652</v>
      </c>
      <c r="B478" s="2" t="s">
        <v>89</v>
      </c>
      <c r="C478" s="2" t="s">
        <v>1173</v>
      </c>
      <c r="D478" s="2">
        <v>5</v>
      </c>
      <c r="E478" s="2"/>
      <c r="F478" s="2">
        <v>27833</v>
      </c>
      <c r="G478" s="12">
        <v>45890</v>
      </c>
      <c r="H478" s="2">
        <v>27833</v>
      </c>
      <c r="I478" t="str">
        <f t="shared" si="7"/>
        <v>Aug</v>
      </c>
    </row>
    <row r="479" spans="1:9" x14ac:dyDescent="0.4">
      <c r="A479" s="2" t="s">
        <v>1653</v>
      </c>
      <c r="B479" s="2" t="s">
        <v>846</v>
      </c>
      <c r="C479" s="2" t="s">
        <v>1182</v>
      </c>
      <c r="D479" s="2">
        <v>3</v>
      </c>
      <c r="E479" s="2">
        <v>20000</v>
      </c>
      <c r="F479" s="2"/>
      <c r="G479" s="12">
        <v>45149</v>
      </c>
      <c r="H479" s="2">
        <v>0</v>
      </c>
      <c r="I479" t="str">
        <f t="shared" si="7"/>
        <v>Aug</v>
      </c>
    </row>
    <row r="480" spans="1:9" x14ac:dyDescent="0.4">
      <c r="A480" s="2" t="s">
        <v>1654</v>
      </c>
      <c r="B480" s="2" t="s">
        <v>933</v>
      </c>
      <c r="C480" s="2" t="s">
        <v>1180</v>
      </c>
      <c r="D480" s="2">
        <v>5</v>
      </c>
      <c r="E480" s="2">
        <v>15000</v>
      </c>
      <c r="F480" s="2">
        <v>54595</v>
      </c>
      <c r="G480" s="12">
        <v>45336</v>
      </c>
      <c r="H480" s="2">
        <v>54595</v>
      </c>
      <c r="I480" t="str">
        <f t="shared" si="7"/>
        <v>Feb</v>
      </c>
    </row>
    <row r="481" spans="1:9" x14ac:dyDescent="0.4">
      <c r="A481" s="2" t="s">
        <v>1655</v>
      </c>
      <c r="B481" s="2" t="s">
        <v>278</v>
      </c>
      <c r="C481" s="2" t="s">
        <v>1175</v>
      </c>
      <c r="D481" s="2">
        <v>4</v>
      </c>
      <c r="E481" s="2">
        <v>20000</v>
      </c>
      <c r="F481" s="2">
        <v>95242</v>
      </c>
      <c r="G481" s="12">
        <v>45230</v>
      </c>
      <c r="H481" s="2">
        <v>95242</v>
      </c>
      <c r="I481" t="str">
        <f t="shared" si="7"/>
        <v>Oct</v>
      </c>
    </row>
    <row r="482" spans="1:9" x14ac:dyDescent="0.4">
      <c r="A482" s="2" t="s">
        <v>1656</v>
      </c>
      <c r="B482" s="2" t="s">
        <v>321</v>
      </c>
      <c r="C482" s="2" t="s">
        <v>1180</v>
      </c>
      <c r="D482" s="2">
        <v>5</v>
      </c>
      <c r="E482" s="2">
        <v>15000</v>
      </c>
      <c r="F482" s="2"/>
      <c r="G482" s="12">
        <v>45323</v>
      </c>
      <c r="H482" s="2">
        <v>0</v>
      </c>
      <c r="I482" t="str">
        <f t="shared" si="7"/>
        <v>Feb</v>
      </c>
    </row>
    <row r="483" spans="1:9" x14ac:dyDescent="0.4">
      <c r="A483" s="2" t="s">
        <v>1657</v>
      </c>
      <c r="B483" s="2" t="s">
        <v>163</v>
      </c>
      <c r="C483" s="2" t="s">
        <v>1180</v>
      </c>
      <c r="D483" s="2">
        <v>2</v>
      </c>
      <c r="E483" s="2"/>
      <c r="F483" s="2">
        <v>5235</v>
      </c>
      <c r="G483" s="12">
        <v>45907</v>
      </c>
      <c r="H483" s="2">
        <v>5235</v>
      </c>
      <c r="I483" t="str">
        <f t="shared" si="7"/>
        <v>Sep</v>
      </c>
    </row>
    <row r="484" spans="1:9" x14ac:dyDescent="0.4">
      <c r="A484" s="2" t="s">
        <v>1658</v>
      </c>
      <c r="B484" s="2" t="s">
        <v>414</v>
      </c>
      <c r="C484" s="2" t="s">
        <v>1175</v>
      </c>
      <c r="D484" s="2"/>
      <c r="E484" s="2">
        <v>15000</v>
      </c>
      <c r="F484" s="2"/>
      <c r="G484" s="12">
        <v>45623</v>
      </c>
      <c r="H484" s="2">
        <v>0</v>
      </c>
      <c r="I484" t="str">
        <f t="shared" si="7"/>
        <v>Nov</v>
      </c>
    </row>
    <row r="485" spans="1:9" x14ac:dyDescent="0.4">
      <c r="A485" s="2" t="s">
        <v>1659</v>
      </c>
      <c r="B485" s="2" t="s">
        <v>356</v>
      </c>
      <c r="C485" s="2" t="s">
        <v>1175</v>
      </c>
      <c r="D485" s="2">
        <v>4</v>
      </c>
      <c r="E485" s="2"/>
      <c r="F485" s="2">
        <v>28865</v>
      </c>
      <c r="G485" s="12">
        <v>45631</v>
      </c>
      <c r="H485" s="2">
        <v>28865</v>
      </c>
      <c r="I485" t="str">
        <f t="shared" si="7"/>
        <v>Dec</v>
      </c>
    </row>
    <row r="486" spans="1:9" x14ac:dyDescent="0.4">
      <c r="A486" s="2" t="s">
        <v>1660</v>
      </c>
      <c r="B486" s="2" t="s">
        <v>212</v>
      </c>
      <c r="C486" s="2" t="s">
        <v>1171</v>
      </c>
      <c r="D486" s="2">
        <v>5</v>
      </c>
      <c r="E486" s="2">
        <v>5000</v>
      </c>
      <c r="F486" s="2"/>
      <c r="G486" s="12">
        <v>45848</v>
      </c>
      <c r="H486" s="2">
        <v>0</v>
      </c>
      <c r="I486" t="str">
        <f t="shared" si="7"/>
        <v>Jul</v>
      </c>
    </row>
    <row r="487" spans="1:9" x14ac:dyDescent="0.4">
      <c r="A487" s="2" t="s">
        <v>1661</v>
      </c>
      <c r="B487" s="2" t="s">
        <v>510</v>
      </c>
      <c r="C487" s="2" t="s">
        <v>1171</v>
      </c>
      <c r="D487" s="2">
        <v>3</v>
      </c>
      <c r="E487" s="2">
        <v>15000</v>
      </c>
      <c r="F487" s="2"/>
      <c r="G487" s="12">
        <v>45479</v>
      </c>
      <c r="H487" s="2">
        <v>0</v>
      </c>
      <c r="I487" t="str">
        <f t="shared" si="7"/>
        <v>Jul</v>
      </c>
    </row>
    <row r="488" spans="1:9" x14ac:dyDescent="0.4">
      <c r="A488" s="2" t="s">
        <v>1662</v>
      </c>
      <c r="B488" s="2" t="s">
        <v>488</v>
      </c>
      <c r="C488" s="2" t="s">
        <v>1171</v>
      </c>
      <c r="D488" s="2">
        <v>5</v>
      </c>
      <c r="E488" s="2"/>
      <c r="F488" s="2"/>
      <c r="G488" s="12">
        <v>45798</v>
      </c>
      <c r="H488" s="2">
        <v>0</v>
      </c>
      <c r="I488" t="str">
        <f t="shared" si="7"/>
        <v>May</v>
      </c>
    </row>
    <row r="489" spans="1:9" x14ac:dyDescent="0.4">
      <c r="A489" s="2" t="s">
        <v>1663</v>
      </c>
      <c r="B489" s="2" t="s">
        <v>541</v>
      </c>
      <c r="C489" s="2" t="s">
        <v>1187</v>
      </c>
      <c r="D489" s="2">
        <v>2</v>
      </c>
      <c r="E489" s="2">
        <v>15000</v>
      </c>
      <c r="F489" s="2"/>
      <c r="G489" s="12">
        <v>45424</v>
      </c>
      <c r="H489" s="2">
        <v>0</v>
      </c>
      <c r="I489" t="str">
        <f t="shared" si="7"/>
        <v>May</v>
      </c>
    </row>
    <row r="490" spans="1:9" x14ac:dyDescent="0.4">
      <c r="A490" s="2" t="s">
        <v>1664</v>
      </c>
      <c r="B490" s="2" t="s">
        <v>537</v>
      </c>
      <c r="C490" s="2" t="s">
        <v>1171</v>
      </c>
      <c r="D490" s="2">
        <v>4</v>
      </c>
      <c r="E490" s="2">
        <v>20000</v>
      </c>
      <c r="F490" s="2">
        <v>36194</v>
      </c>
      <c r="G490" s="12">
        <v>45714</v>
      </c>
      <c r="H490" s="2">
        <v>36194</v>
      </c>
      <c r="I490" t="str">
        <f t="shared" si="7"/>
        <v>Feb</v>
      </c>
    </row>
    <row r="491" spans="1:9" x14ac:dyDescent="0.4">
      <c r="A491" s="2" t="s">
        <v>1665</v>
      </c>
      <c r="B491" s="2" t="s">
        <v>1020</v>
      </c>
      <c r="C491" s="2" t="s">
        <v>1175</v>
      </c>
      <c r="D491" s="2">
        <v>4</v>
      </c>
      <c r="E491" s="2"/>
      <c r="F491" s="2"/>
      <c r="G491" s="12">
        <v>45617</v>
      </c>
      <c r="H491" s="2">
        <v>0</v>
      </c>
      <c r="I491" t="str">
        <f t="shared" si="7"/>
        <v>Nov</v>
      </c>
    </row>
    <row r="492" spans="1:9" x14ac:dyDescent="0.4">
      <c r="A492" s="2" t="s">
        <v>1666</v>
      </c>
      <c r="B492" s="2" t="s">
        <v>915</v>
      </c>
      <c r="C492" s="2" t="s">
        <v>1180</v>
      </c>
      <c r="D492" s="2">
        <v>4</v>
      </c>
      <c r="E492" s="2">
        <v>15000</v>
      </c>
      <c r="F492" s="2"/>
      <c r="G492" s="12">
        <v>45328</v>
      </c>
      <c r="H492" s="2">
        <v>0</v>
      </c>
      <c r="I492" t="str">
        <f t="shared" si="7"/>
        <v>Feb</v>
      </c>
    </row>
    <row r="493" spans="1:9" x14ac:dyDescent="0.4">
      <c r="A493" s="2" t="s">
        <v>1667</v>
      </c>
      <c r="B493" s="2" t="s">
        <v>126</v>
      </c>
      <c r="C493" s="2" t="s">
        <v>1175</v>
      </c>
      <c r="D493" s="2">
        <v>2</v>
      </c>
      <c r="E493" s="2"/>
      <c r="F493" s="2">
        <v>97925</v>
      </c>
      <c r="G493" s="12">
        <v>45019</v>
      </c>
      <c r="H493" s="2">
        <v>97925</v>
      </c>
      <c r="I493" t="str">
        <f t="shared" si="7"/>
        <v>Apr</v>
      </c>
    </row>
    <row r="494" spans="1:9" x14ac:dyDescent="0.4">
      <c r="A494" s="2" t="s">
        <v>1668</v>
      </c>
      <c r="B494" s="2" t="s">
        <v>551</v>
      </c>
      <c r="C494" s="2" t="s">
        <v>1180</v>
      </c>
      <c r="D494" s="2">
        <v>2</v>
      </c>
      <c r="E494" s="2">
        <v>10000</v>
      </c>
      <c r="F494" s="2"/>
      <c r="G494" s="12">
        <v>45210</v>
      </c>
      <c r="H494" s="2">
        <v>0</v>
      </c>
      <c r="I494" t="str">
        <f t="shared" si="7"/>
        <v>Oct</v>
      </c>
    </row>
    <row r="495" spans="1:9" x14ac:dyDescent="0.4">
      <c r="A495" s="2" t="s">
        <v>1669</v>
      </c>
      <c r="B495" s="2" t="s">
        <v>701</v>
      </c>
      <c r="C495" s="2" t="s">
        <v>1173</v>
      </c>
      <c r="D495" s="2">
        <v>5</v>
      </c>
      <c r="E495" s="2">
        <v>20000</v>
      </c>
      <c r="F495" s="2"/>
      <c r="G495" s="12">
        <v>45044</v>
      </c>
      <c r="H495" s="2">
        <v>0</v>
      </c>
      <c r="I495" t="str">
        <f t="shared" si="7"/>
        <v>Apr</v>
      </c>
    </row>
    <row r="496" spans="1:9" x14ac:dyDescent="0.4">
      <c r="A496" s="2" t="s">
        <v>1670</v>
      </c>
      <c r="B496" s="2" t="s">
        <v>338</v>
      </c>
      <c r="C496" s="2" t="s">
        <v>1175</v>
      </c>
      <c r="D496" s="2">
        <v>1</v>
      </c>
      <c r="E496" s="2">
        <v>15000</v>
      </c>
      <c r="F496" s="2"/>
      <c r="G496" s="12">
        <v>45316</v>
      </c>
      <c r="H496" s="2">
        <v>0</v>
      </c>
      <c r="I496" t="str">
        <f t="shared" si="7"/>
        <v>Jan</v>
      </c>
    </row>
    <row r="497" spans="1:9" x14ac:dyDescent="0.4">
      <c r="A497" s="2" t="s">
        <v>1671</v>
      </c>
      <c r="B497" s="2" t="s">
        <v>951</v>
      </c>
      <c r="C497" s="2" t="s">
        <v>1171</v>
      </c>
      <c r="D497" s="2">
        <v>5</v>
      </c>
      <c r="E497" s="2">
        <v>15000</v>
      </c>
      <c r="F497" s="2">
        <v>50938</v>
      </c>
      <c r="G497" s="12">
        <v>45521</v>
      </c>
      <c r="H497" s="2">
        <v>50938</v>
      </c>
      <c r="I497" t="str">
        <f t="shared" si="7"/>
        <v>Aug</v>
      </c>
    </row>
    <row r="498" spans="1:9" x14ac:dyDescent="0.4">
      <c r="A498" s="2" t="s">
        <v>1672</v>
      </c>
      <c r="B498" s="2" t="s">
        <v>286</v>
      </c>
      <c r="C498" s="2" t="s">
        <v>1171</v>
      </c>
      <c r="D498" s="2">
        <v>3</v>
      </c>
      <c r="E498" s="2">
        <v>5000</v>
      </c>
      <c r="F498" s="2"/>
      <c r="G498" s="12">
        <v>45564</v>
      </c>
      <c r="H498" s="2">
        <v>0</v>
      </c>
      <c r="I498" t="str">
        <f t="shared" si="7"/>
        <v>Sep</v>
      </c>
    </row>
    <row r="499" spans="1:9" x14ac:dyDescent="0.4">
      <c r="A499" s="2" t="s">
        <v>1673</v>
      </c>
      <c r="B499" s="2" t="s">
        <v>852</v>
      </c>
      <c r="C499" s="2" t="s">
        <v>1180</v>
      </c>
      <c r="D499" s="2"/>
      <c r="E499" s="2">
        <v>15000</v>
      </c>
      <c r="F499" s="2">
        <v>11310</v>
      </c>
      <c r="G499" s="12">
        <v>45375</v>
      </c>
      <c r="H499" s="2">
        <v>11310</v>
      </c>
      <c r="I499" t="str">
        <f t="shared" si="7"/>
        <v>Mar</v>
      </c>
    </row>
    <row r="500" spans="1:9" x14ac:dyDescent="0.4">
      <c r="A500" s="2" t="s">
        <v>1674</v>
      </c>
      <c r="B500" s="2" t="s">
        <v>603</v>
      </c>
      <c r="C500" s="2" t="s">
        <v>1182</v>
      </c>
      <c r="D500" s="2">
        <v>4</v>
      </c>
      <c r="E500" s="2">
        <v>5000</v>
      </c>
      <c r="F500" s="2">
        <v>62438</v>
      </c>
      <c r="G500" s="12">
        <v>45254</v>
      </c>
      <c r="H500" s="2">
        <v>62438</v>
      </c>
      <c r="I500" t="str">
        <f t="shared" si="7"/>
        <v>Nov</v>
      </c>
    </row>
    <row r="501" spans="1:9" x14ac:dyDescent="0.4">
      <c r="A501" s="2" t="s">
        <v>1675</v>
      </c>
      <c r="B501" s="2" t="s">
        <v>1100</v>
      </c>
      <c r="C501" s="2" t="s">
        <v>1187</v>
      </c>
      <c r="D501" s="2">
        <v>1</v>
      </c>
      <c r="E501" s="2">
        <v>15000</v>
      </c>
      <c r="F501" s="2">
        <v>26802</v>
      </c>
      <c r="G501" s="12">
        <v>45899</v>
      </c>
      <c r="H501" s="2">
        <v>26802</v>
      </c>
      <c r="I501" t="str">
        <f t="shared" si="7"/>
        <v>Aug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11" workbookViewId="0">
      <selection activeCell="I5" sqref="I5"/>
    </sheetView>
  </sheetViews>
  <sheetFormatPr defaultRowHeight="14.6" x14ac:dyDescent="0.4"/>
  <cols>
    <col min="1" max="1" width="7.4609375" bestFit="1" customWidth="1"/>
    <col min="2" max="2" width="20.3046875" bestFit="1" customWidth="1"/>
    <col min="3" max="3" width="35.4609375" bestFit="1" customWidth="1"/>
    <col min="4" max="4" width="17.23046875" bestFit="1" customWidth="1"/>
    <col min="5" max="5" width="9.765625" bestFit="1" customWidth="1"/>
    <col min="6" max="6" width="7.765625" bestFit="1" customWidth="1"/>
    <col min="8" max="8" width="10.84375" bestFit="1" customWidth="1"/>
  </cols>
  <sheetData>
    <row r="1" spans="1:8" x14ac:dyDescent="0.4">
      <c r="A1" s="1" t="s">
        <v>1676</v>
      </c>
      <c r="B1" s="1" t="s">
        <v>1677</v>
      </c>
      <c r="C1" s="1" t="s">
        <v>4</v>
      </c>
      <c r="D1" s="1" t="s">
        <v>1678</v>
      </c>
      <c r="E1" s="1" t="s">
        <v>1679</v>
      </c>
      <c r="F1" s="1" t="s">
        <v>1680</v>
      </c>
      <c r="G1" s="14" t="s">
        <v>3728</v>
      </c>
      <c r="H1" s="14" t="s">
        <v>3730</v>
      </c>
    </row>
    <row r="2" spans="1:8" x14ac:dyDescent="0.4">
      <c r="A2" s="2" t="s">
        <v>1681</v>
      </c>
      <c r="B2" s="2" t="s">
        <v>1682</v>
      </c>
      <c r="C2" s="2" t="s">
        <v>1683</v>
      </c>
      <c r="D2" s="18" t="s">
        <v>1684</v>
      </c>
      <c r="E2" s="2" t="s">
        <v>3729</v>
      </c>
      <c r="F2" s="2" t="s">
        <v>1686</v>
      </c>
      <c r="G2" t="b">
        <f t="shared" ref="G2:G65" si="0">ISNUMBER(SEARCH("@",C2))</f>
        <v>1</v>
      </c>
      <c r="H2" t="str">
        <f>PROPER(E2)</f>
        <v>Kolkata</v>
      </c>
    </row>
    <row r="3" spans="1:8" x14ac:dyDescent="0.4">
      <c r="A3" s="2" t="s">
        <v>1687</v>
      </c>
      <c r="B3" s="2" t="s">
        <v>1688</v>
      </c>
      <c r="C3" s="2" t="s">
        <v>1689</v>
      </c>
      <c r="D3" s="18">
        <v>12980365774</v>
      </c>
      <c r="E3" s="2" t="s">
        <v>1690</v>
      </c>
      <c r="F3" s="2" t="s">
        <v>1691</v>
      </c>
      <c r="G3" t="b">
        <f t="shared" si="0"/>
        <v>1</v>
      </c>
      <c r="H3" t="str">
        <f t="shared" ref="H3:H66" si="1">PROPER(E3)</f>
        <v>Hyderabad</v>
      </c>
    </row>
    <row r="4" spans="1:8" x14ac:dyDescent="0.4">
      <c r="A4" s="2" t="s">
        <v>1692</v>
      </c>
      <c r="B4" s="2" t="s">
        <v>1693</v>
      </c>
      <c r="C4" s="2" t="s">
        <v>1694</v>
      </c>
      <c r="D4" s="18">
        <v>149160936595201</v>
      </c>
      <c r="E4" s="2" t="s">
        <v>1685</v>
      </c>
      <c r="F4" s="2" t="s">
        <v>1686</v>
      </c>
      <c r="G4" t="b">
        <f t="shared" si="0"/>
        <v>1</v>
      </c>
      <c r="H4" t="str">
        <f t="shared" si="1"/>
        <v>Kolkata</v>
      </c>
    </row>
    <row r="5" spans="1:8" x14ac:dyDescent="0.4">
      <c r="A5" s="2" t="s">
        <v>1695</v>
      </c>
      <c r="B5" s="2" t="s">
        <v>1696</v>
      </c>
      <c r="C5" s="2" t="s">
        <v>1697</v>
      </c>
      <c r="D5" s="18">
        <v>91189418433687</v>
      </c>
      <c r="E5" s="2" t="s">
        <v>1698</v>
      </c>
      <c r="F5" s="2" t="s">
        <v>1699</v>
      </c>
      <c r="G5" t="b">
        <f t="shared" si="0"/>
        <v>1</v>
      </c>
      <c r="H5" t="str">
        <f t="shared" si="1"/>
        <v>Delhi</v>
      </c>
    </row>
    <row r="6" spans="1:8" x14ac:dyDescent="0.4">
      <c r="A6" s="2" t="s">
        <v>1700</v>
      </c>
      <c r="B6" s="2" t="s">
        <v>1701</v>
      </c>
      <c r="C6" s="2" t="s">
        <v>1702</v>
      </c>
      <c r="D6" s="18">
        <v>92632239982137</v>
      </c>
      <c r="E6" s="2" t="s">
        <v>1703</v>
      </c>
      <c r="F6" s="2" t="s">
        <v>1699</v>
      </c>
      <c r="G6" t="b">
        <f t="shared" si="0"/>
        <v>1</v>
      </c>
      <c r="H6" t="str">
        <f t="shared" si="1"/>
        <v>Mumbai</v>
      </c>
    </row>
    <row r="7" spans="1:8" x14ac:dyDescent="0.4">
      <c r="A7" s="2" t="s">
        <v>1704</v>
      </c>
      <c r="B7" s="2" t="s">
        <v>1705</v>
      </c>
      <c r="C7" s="2" t="s">
        <v>1706</v>
      </c>
      <c r="D7" s="18">
        <v>5561140428860</v>
      </c>
      <c r="E7" s="2" t="s">
        <v>1685</v>
      </c>
      <c r="F7" s="2" t="s">
        <v>1699</v>
      </c>
      <c r="G7" t="b">
        <f t="shared" si="0"/>
        <v>1</v>
      </c>
      <c r="H7" t="str">
        <f t="shared" si="1"/>
        <v>Kolkata</v>
      </c>
    </row>
    <row r="8" spans="1:8" x14ac:dyDescent="0.4">
      <c r="A8" s="2" t="s">
        <v>1707</v>
      </c>
      <c r="B8" s="2" t="s">
        <v>1708</v>
      </c>
      <c r="C8" s="2" t="s">
        <v>1709</v>
      </c>
      <c r="D8" s="18" t="s">
        <v>3742</v>
      </c>
      <c r="E8" s="2" t="s">
        <v>1690</v>
      </c>
      <c r="F8" s="2" t="s">
        <v>1691</v>
      </c>
      <c r="G8" t="b">
        <f t="shared" si="0"/>
        <v>1</v>
      </c>
      <c r="H8" t="str">
        <f t="shared" si="1"/>
        <v>Hyderabad</v>
      </c>
    </row>
    <row r="9" spans="1:8" x14ac:dyDescent="0.4">
      <c r="A9" s="2" t="s">
        <v>1710</v>
      </c>
      <c r="B9" s="2" t="s">
        <v>1711</v>
      </c>
      <c r="C9" s="2" t="s">
        <v>1712</v>
      </c>
      <c r="D9" s="18">
        <v>1003083566910620</v>
      </c>
      <c r="E9" s="2" t="s">
        <v>1713</v>
      </c>
      <c r="F9" s="2" t="s">
        <v>1699</v>
      </c>
      <c r="G9" t="b">
        <f t="shared" si="0"/>
        <v>1</v>
      </c>
      <c r="H9" t="str">
        <f t="shared" si="1"/>
        <v>Bangalore</v>
      </c>
    </row>
    <row r="10" spans="1:8" x14ac:dyDescent="0.4">
      <c r="A10" s="2" t="s">
        <v>1714</v>
      </c>
      <c r="B10" s="2" t="s">
        <v>1715</v>
      </c>
      <c r="C10" s="2" t="s">
        <v>1716</v>
      </c>
      <c r="D10" s="18">
        <v>5312345506</v>
      </c>
      <c r="E10" s="2" t="s">
        <v>1698</v>
      </c>
      <c r="F10" s="2" t="s">
        <v>1717</v>
      </c>
      <c r="G10" t="b">
        <f t="shared" si="0"/>
        <v>1</v>
      </c>
      <c r="H10" t="str">
        <f t="shared" si="1"/>
        <v>Delhi</v>
      </c>
    </row>
    <row r="11" spans="1:8" x14ac:dyDescent="0.4">
      <c r="A11" s="2" t="s">
        <v>1718</v>
      </c>
      <c r="B11" s="2" t="s">
        <v>1719</v>
      </c>
      <c r="C11" s="2" t="s">
        <v>1720</v>
      </c>
      <c r="D11" s="18">
        <v>826917768293844</v>
      </c>
      <c r="E11" s="2" t="s">
        <v>1713</v>
      </c>
      <c r="F11" s="2" t="s">
        <v>1717</v>
      </c>
      <c r="G11" t="b">
        <f t="shared" si="0"/>
        <v>0</v>
      </c>
      <c r="H11" t="str">
        <f t="shared" si="1"/>
        <v>Bangalore</v>
      </c>
    </row>
    <row r="12" spans="1:8" x14ac:dyDescent="0.4">
      <c r="A12" s="2" t="s">
        <v>1721</v>
      </c>
      <c r="B12" s="2" t="s">
        <v>1722</v>
      </c>
      <c r="C12" s="2" t="s">
        <v>1723</v>
      </c>
      <c r="D12" s="18">
        <v>101348087354378</v>
      </c>
      <c r="E12" s="2" t="s">
        <v>1713</v>
      </c>
      <c r="F12" s="2" t="s">
        <v>1717</v>
      </c>
      <c r="G12" t="b">
        <f t="shared" si="0"/>
        <v>1</v>
      </c>
      <c r="H12" t="str">
        <f t="shared" si="1"/>
        <v>Bangalore</v>
      </c>
    </row>
    <row r="13" spans="1:8" x14ac:dyDescent="0.4">
      <c r="A13" s="2" t="s">
        <v>1724</v>
      </c>
      <c r="B13" s="2" t="s">
        <v>1725</v>
      </c>
      <c r="C13" s="2" t="s">
        <v>1726</v>
      </c>
      <c r="D13" s="18">
        <v>182603359101570</v>
      </c>
      <c r="E13" s="2" t="s">
        <v>1703</v>
      </c>
      <c r="F13" s="2" t="s">
        <v>1699</v>
      </c>
      <c r="G13" t="b">
        <f t="shared" si="0"/>
        <v>1</v>
      </c>
      <c r="H13" t="str">
        <f t="shared" si="1"/>
        <v>Mumbai</v>
      </c>
    </row>
    <row r="14" spans="1:8" x14ac:dyDescent="0.4">
      <c r="A14" s="2" t="s">
        <v>1727</v>
      </c>
      <c r="B14" s="2" t="s">
        <v>1728</v>
      </c>
      <c r="C14" s="2" t="s">
        <v>1729</v>
      </c>
      <c r="D14" s="18">
        <v>10859914492074</v>
      </c>
      <c r="E14" s="2" t="s">
        <v>1730</v>
      </c>
      <c r="F14" s="2" t="s">
        <v>1686</v>
      </c>
      <c r="G14" t="b">
        <f t="shared" si="0"/>
        <v>1</v>
      </c>
      <c r="H14" t="str">
        <f t="shared" si="1"/>
        <v>Pune</v>
      </c>
    </row>
    <row r="15" spans="1:8" x14ac:dyDescent="0.4">
      <c r="A15" s="2" t="s">
        <v>1731</v>
      </c>
      <c r="B15" s="2" t="s">
        <v>1732</v>
      </c>
      <c r="C15" s="2" t="s">
        <v>1733</v>
      </c>
      <c r="D15" s="18">
        <v>12699969964</v>
      </c>
      <c r="E15" s="2" t="s">
        <v>1698</v>
      </c>
      <c r="F15" s="2" t="s">
        <v>1717</v>
      </c>
      <c r="G15" t="b">
        <f t="shared" si="0"/>
        <v>1</v>
      </c>
      <c r="H15" t="str">
        <f t="shared" si="1"/>
        <v>Delhi</v>
      </c>
    </row>
    <row r="16" spans="1:8" x14ac:dyDescent="0.4">
      <c r="A16" s="2" t="s">
        <v>1734</v>
      </c>
      <c r="B16" s="2" t="s">
        <v>1735</v>
      </c>
      <c r="C16" s="2" t="s">
        <v>1720</v>
      </c>
      <c r="D16" s="18">
        <v>19971842859</v>
      </c>
      <c r="E16" s="2" t="s">
        <v>1730</v>
      </c>
      <c r="F16" s="2" t="s">
        <v>1686</v>
      </c>
      <c r="G16" t="b">
        <f t="shared" si="0"/>
        <v>0</v>
      </c>
      <c r="H16" t="str">
        <f t="shared" si="1"/>
        <v>Pune</v>
      </c>
    </row>
    <row r="17" spans="1:8" x14ac:dyDescent="0.4">
      <c r="A17" s="2" t="s">
        <v>1736</v>
      </c>
      <c r="B17" s="2" t="s">
        <v>1737</v>
      </c>
      <c r="C17" s="2" t="s">
        <v>1738</v>
      </c>
      <c r="D17" s="18" t="s">
        <v>3743</v>
      </c>
      <c r="E17" s="2" t="s">
        <v>1739</v>
      </c>
      <c r="F17" s="2" t="s">
        <v>1686</v>
      </c>
      <c r="G17" t="b">
        <f t="shared" si="0"/>
        <v>1</v>
      </c>
      <c r="H17" t="str">
        <f t="shared" si="1"/>
        <v>Chennai</v>
      </c>
    </row>
    <row r="18" spans="1:8" x14ac:dyDescent="0.4">
      <c r="A18" s="2" t="s">
        <v>1740</v>
      </c>
      <c r="B18" s="2" t="s">
        <v>1741</v>
      </c>
      <c r="C18" s="2" t="s">
        <v>1742</v>
      </c>
      <c r="D18" s="18">
        <v>1234266980</v>
      </c>
      <c r="E18" s="2" t="s">
        <v>1690</v>
      </c>
      <c r="F18" s="2" t="s">
        <v>1691</v>
      </c>
      <c r="G18" t="b">
        <f t="shared" si="0"/>
        <v>1</v>
      </c>
      <c r="H18" t="str">
        <f t="shared" si="1"/>
        <v>Hyderabad</v>
      </c>
    </row>
    <row r="19" spans="1:8" x14ac:dyDescent="0.4">
      <c r="A19" s="2" t="s">
        <v>1743</v>
      </c>
      <c r="B19" s="2" t="s">
        <v>1744</v>
      </c>
      <c r="C19" s="2" t="s">
        <v>1745</v>
      </c>
      <c r="D19" s="18" t="s">
        <v>3744</v>
      </c>
      <c r="E19" s="2" t="s">
        <v>1690</v>
      </c>
      <c r="F19" s="2" t="s">
        <v>1717</v>
      </c>
      <c r="G19" t="b">
        <f t="shared" si="0"/>
        <v>1</v>
      </c>
      <c r="H19" t="str">
        <f t="shared" si="1"/>
        <v>Hyderabad</v>
      </c>
    </row>
    <row r="20" spans="1:8" x14ac:dyDescent="0.4">
      <c r="A20" s="2" t="s">
        <v>1746</v>
      </c>
      <c r="B20" s="2" t="s">
        <v>1747</v>
      </c>
      <c r="C20" s="2" t="s">
        <v>1748</v>
      </c>
      <c r="D20" s="18">
        <v>138935953828040</v>
      </c>
      <c r="E20" s="2" t="s">
        <v>1685</v>
      </c>
      <c r="F20" s="2" t="s">
        <v>1691</v>
      </c>
      <c r="G20" t="b">
        <f t="shared" si="0"/>
        <v>1</v>
      </c>
      <c r="H20" t="str">
        <f t="shared" si="1"/>
        <v>Kolkata</v>
      </c>
    </row>
    <row r="21" spans="1:8" x14ac:dyDescent="0.4">
      <c r="A21" s="2" t="s">
        <v>1749</v>
      </c>
      <c r="B21" s="2" t="s">
        <v>1750</v>
      </c>
      <c r="C21" s="2" t="s">
        <v>1751</v>
      </c>
      <c r="D21" s="18" t="s">
        <v>3745</v>
      </c>
      <c r="E21" s="2" t="s">
        <v>1698</v>
      </c>
      <c r="F21" s="2" t="s">
        <v>1691</v>
      </c>
      <c r="G21" t="b">
        <f t="shared" si="0"/>
        <v>1</v>
      </c>
      <c r="H21" t="str">
        <f t="shared" si="1"/>
        <v>Delhi</v>
      </c>
    </row>
    <row r="22" spans="1:8" x14ac:dyDescent="0.4">
      <c r="A22" s="2" t="s">
        <v>1752</v>
      </c>
      <c r="B22" s="2" t="s">
        <v>1753</v>
      </c>
      <c r="C22" s="2" t="s">
        <v>1720</v>
      </c>
      <c r="D22" s="18">
        <v>12641869656</v>
      </c>
      <c r="E22" s="2" t="s">
        <v>1703</v>
      </c>
      <c r="F22" s="2" t="s">
        <v>1691</v>
      </c>
      <c r="G22" t="b">
        <f t="shared" si="0"/>
        <v>0</v>
      </c>
      <c r="H22" t="str">
        <f t="shared" si="1"/>
        <v>Mumbai</v>
      </c>
    </row>
    <row r="23" spans="1:8" x14ac:dyDescent="0.4">
      <c r="A23" s="2" t="s">
        <v>1754</v>
      </c>
      <c r="B23" s="2" t="s">
        <v>1755</v>
      </c>
      <c r="C23" s="2" t="s">
        <v>1756</v>
      </c>
      <c r="D23" s="18">
        <v>113087612385951</v>
      </c>
      <c r="E23" s="2" t="s">
        <v>1690</v>
      </c>
      <c r="F23" s="2" t="s">
        <v>1699</v>
      </c>
      <c r="G23" t="b">
        <f t="shared" si="0"/>
        <v>1</v>
      </c>
      <c r="H23" t="str">
        <f t="shared" si="1"/>
        <v>Hyderabad</v>
      </c>
    </row>
    <row r="24" spans="1:8" x14ac:dyDescent="0.4">
      <c r="A24" s="2" t="s">
        <v>1757</v>
      </c>
      <c r="B24" s="2" t="s">
        <v>1758</v>
      </c>
      <c r="C24" s="2" t="s">
        <v>1759</v>
      </c>
      <c r="D24" s="18">
        <v>3468239484002</v>
      </c>
      <c r="E24" s="2" t="s">
        <v>1690</v>
      </c>
      <c r="F24" s="2" t="s">
        <v>1691</v>
      </c>
      <c r="G24" t="b">
        <f t="shared" si="0"/>
        <v>1</v>
      </c>
      <c r="H24" t="str">
        <f t="shared" si="1"/>
        <v>Hyderabad</v>
      </c>
    </row>
    <row r="25" spans="1:8" x14ac:dyDescent="0.4">
      <c r="A25" s="2" t="s">
        <v>1760</v>
      </c>
      <c r="B25" s="2" t="s">
        <v>1761</v>
      </c>
      <c r="C25" s="2" t="s">
        <v>1762</v>
      </c>
      <c r="D25" s="18">
        <v>30086966101683</v>
      </c>
      <c r="E25" s="2" t="s">
        <v>1685</v>
      </c>
      <c r="F25" s="2" t="s">
        <v>1686</v>
      </c>
      <c r="G25" t="b">
        <f t="shared" si="0"/>
        <v>1</v>
      </c>
      <c r="H25" t="str">
        <f t="shared" si="1"/>
        <v>Kolkata</v>
      </c>
    </row>
    <row r="26" spans="1:8" x14ac:dyDescent="0.4">
      <c r="A26" s="2" t="s">
        <v>1763</v>
      </c>
      <c r="B26" s="2" t="s">
        <v>1764</v>
      </c>
      <c r="C26" s="2" t="s">
        <v>1720</v>
      </c>
      <c r="D26" s="18">
        <v>1395001680</v>
      </c>
      <c r="E26" s="2" t="s">
        <v>1730</v>
      </c>
      <c r="F26" s="2" t="s">
        <v>1717</v>
      </c>
      <c r="G26" t="b">
        <f t="shared" si="0"/>
        <v>0</v>
      </c>
      <c r="H26" t="str">
        <f t="shared" si="1"/>
        <v>Pune</v>
      </c>
    </row>
    <row r="27" spans="1:8" x14ac:dyDescent="0.4">
      <c r="A27" s="2" t="s">
        <v>1765</v>
      </c>
      <c r="B27" s="2" t="s">
        <v>1766</v>
      </c>
      <c r="C27" s="2" t="s">
        <v>1767</v>
      </c>
      <c r="D27" s="18">
        <v>14149150762839</v>
      </c>
      <c r="E27" s="2" t="s">
        <v>1690</v>
      </c>
      <c r="F27" s="2" t="s">
        <v>1686</v>
      </c>
      <c r="G27" t="b">
        <f t="shared" si="0"/>
        <v>1</v>
      </c>
      <c r="H27" t="str">
        <f t="shared" si="1"/>
        <v>Hyderabad</v>
      </c>
    </row>
    <row r="28" spans="1:8" x14ac:dyDescent="0.4">
      <c r="A28" s="2" t="s">
        <v>1768</v>
      </c>
      <c r="B28" s="2" t="s">
        <v>1769</v>
      </c>
      <c r="C28" s="2" t="s">
        <v>1770</v>
      </c>
      <c r="D28" s="18">
        <v>6205344077794</v>
      </c>
      <c r="E28" s="2" t="s">
        <v>1703</v>
      </c>
      <c r="F28" s="2" t="s">
        <v>1717</v>
      </c>
      <c r="G28" t="b">
        <f t="shared" si="0"/>
        <v>1</v>
      </c>
      <c r="H28" t="str">
        <f t="shared" si="1"/>
        <v>Mumbai</v>
      </c>
    </row>
    <row r="29" spans="1:8" x14ac:dyDescent="0.4">
      <c r="A29" s="2" t="s">
        <v>1771</v>
      </c>
      <c r="B29" s="2" t="s">
        <v>1772</v>
      </c>
      <c r="C29" s="2" t="s">
        <v>1773</v>
      </c>
      <c r="D29" s="18" t="s">
        <v>3746</v>
      </c>
      <c r="E29" s="2" t="s">
        <v>1685</v>
      </c>
      <c r="F29" s="2" t="s">
        <v>1699</v>
      </c>
      <c r="G29" t="b">
        <f t="shared" si="0"/>
        <v>1</v>
      </c>
      <c r="H29" t="str">
        <f t="shared" si="1"/>
        <v>Kolkata</v>
      </c>
    </row>
    <row r="30" spans="1:8" x14ac:dyDescent="0.4">
      <c r="A30" s="2" t="s">
        <v>1774</v>
      </c>
      <c r="B30" s="2" t="s">
        <v>1775</v>
      </c>
      <c r="C30" s="2" t="s">
        <v>1776</v>
      </c>
      <c r="D30" s="18">
        <v>176029914068841</v>
      </c>
      <c r="E30" s="2" t="s">
        <v>1690</v>
      </c>
      <c r="F30" s="2" t="s">
        <v>1717</v>
      </c>
      <c r="G30" t="b">
        <f t="shared" si="0"/>
        <v>1</v>
      </c>
      <c r="H30" t="str">
        <f t="shared" si="1"/>
        <v>Hyderabad</v>
      </c>
    </row>
    <row r="31" spans="1:8" x14ac:dyDescent="0.4">
      <c r="A31" s="2" t="s">
        <v>1777</v>
      </c>
      <c r="B31" s="2" t="s">
        <v>1778</v>
      </c>
      <c r="C31" s="2" t="s">
        <v>1779</v>
      </c>
      <c r="D31" s="18">
        <v>3373125523</v>
      </c>
      <c r="E31" s="2" t="s">
        <v>1690</v>
      </c>
      <c r="F31" s="2" t="s">
        <v>1717</v>
      </c>
      <c r="G31" t="b">
        <f t="shared" si="0"/>
        <v>1</v>
      </c>
      <c r="H31" t="str">
        <f t="shared" si="1"/>
        <v>Hyderabad</v>
      </c>
    </row>
    <row r="32" spans="1:8" x14ac:dyDescent="0.4">
      <c r="A32" s="2" t="s">
        <v>1780</v>
      </c>
      <c r="B32" s="2" t="s">
        <v>1781</v>
      </c>
      <c r="C32" s="2" t="s">
        <v>1782</v>
      </c>
      <c r="D32" s="18" t="s">
        <v>3747</v>
      </c>
      <c r="E32" s="2" t="s">
        <v>1713</v>
      </c>
      <c r="F32" s="2" t="s">
        <v>1717</v>
      </c>
      <c r="G32" t="b">
        <f t="shared" si="0"/>
        <v>1</v>
      </c>
      <c r="H32" t="str">
        <f t="shared" si="1"/>
        <v>Bangalore</v>
      </c>
    </row>
    <row r="33" spans="1:8" x14ac:dyDescent="0.4">
      <c r="A33" s="2" t="s">
        <v>1783</v>
      </c>
      <c r="B33" s="2" t="s">
        <v>1784</v>
      </c>
      <c r="C33" s="2" t="s">
        <v>1785</v>
      </c>
      <c r="D33" s="18" t="s">
        <v>1786</v>
      </c>
      <c r="E33" s="2" t="s">
        <v>1703</v>
      </c>
      <c r="F33" s="2" t="s">
        <v>1717</v>
      </c>
      <c r="G33" t="b">
        <f t="shared" si="0"/>
        <v>1</v>
      </c>
      <c r="H33" t="str">
        <f t="shared" si="1"/>
        <v>Mumbai</v>
      </c>
    </row>
    <row r="34" spans="1:8" x14ac:dyDescent="0.4">
      <c r="A34" s="2" t="s">
        <v>1787</v>
      </c>
      <c r="B34" s="2" t="s">
        <v>1788</v>
      </c>
      <c r="C34" s="2" t="s">
        <v>1789</v>
      </c>
      <c r="D34" s="18">
        <v>19561337184</v>
      </c>
      <c r="E34" s="2" t="s">
        <v>1690</v>
      </c>
      <c r="F34" s="2" t="s">
        <v>1686</v>
      </c>
      <c r="G34" t="b">
        <f t="shared" si="0"/>
        <v>1</v>
      </c>
      <c r="H34" t="str">
        <f t="shared" si="1"/>
        <v>Hyderabad</v>
      </c>
    </row>
    <row r="35" spans="1:8" x14ac:dyDescent="0.4">
      <c r="A35" s="2" t="s">
        <v>1790</v>
      </c>
      <c r="B35" s="2" t="s">
        <v>1791</v>
      </c>
      <c r="C35" s="2" t="s">
        <v>1792</v>
      </c>
      <c r="D35" s="18">
        <v>49029502648016</v>
      </c>
      <c r="E35" s="2" t="s">
        <v>1739</v>
      </c>
      <c r="F35" s="2" t="s">
        <v>1717</v>
      </c>
      <c r="G35" t="b">
        <f t="shared" si="0"/>
        <v>1</v>
      </c>
      <c r="H35" t="str">
        <f t="shared" si="1"/>
        <v>Chennai</v>
      </c>
    </row>
    <row r="36" spans="1:8" x14ac:dyDescent="0.4">
      <c r="A36" s="2" t="s">
        <v>1793</v>
      </c>
      <c r="B36" s="2" t="s">
        <v>1794</v>
      </c>
      <c r="C36" s="2" t="s">
        <v>1795</v>
      </c>
      <c r="D36" s="18">
        <v>4037341678127</v>
      </c>
      <c r="E36" s="2" t="s">
        <v>1739</v>
      </c>
      <c r="F36" s="2" t="s">
        <v>1691</v>
      </c>
      <c r="G36" t="b">
        <f t="shared" si="0"/>
        <v>1</v>
      </c>
      <c r="H36" t="str">
        <f t="shared" si="1"/>
        <v>Chennai</v>
      </c>
    </row>
    <row r="37" spans="1:8" x14ac:dyDescent="0.4">
      <c r="A37" s="2" t="s">
        <v>1796</v>
      </c>
      <c r="B37" s="2" t="s">
        <v>1797</v>
      </c>
      <c r="C37" s="2" t="s">
        <v>1798</v>
      </c>
      <c r="D37" s="18">
        <v>178221021798213</v>
      </c>
      <c r="E37" s="2" t="s">
        <v>1703</v>
      </c>
      <c r="F37" s="2" t="s">
        <v>1717</v>
      </c>
      <c r="G37" t="b">
        <f t="shared" si="0"/>
        <v>1</v>
      </c>
      <c r="H37" t="str">
        <f t="shared" si="1"/>
        <v>Mumbai</v>
      </c>
    </row>
    <row r="38" spans="1:8" x14ac:dyDescent="0.4">
      <c r="A38" s="2" t="s">
        <v>1799</v>
      </c>
      <c r="B38" s="2" t="s">
        <v>1800</v>
      </c>
      <c r="C38" s="2" t="s">
        <v>1801</v>
      </c>
      <c r="D38" s="18">
        <v>8629857973638</v>
      </c>
      <c r="E38" s="2" t="s">
        <v>1703</v>
      </c>
      <c r="F38" s="2" t="s">
        <v>1691</v>
      </c>
      <c r="G38" t="b">
        <f t="shared" si="0"/>
        <v>1</v>
      </c>
      <c r="H38" t="str">
        <f t="shared" si="1"/>
        <v>Mumbai</v>
      </c>
    </row>
    <row r="39" spans="1:8" x14ac:dyDescent="0.4">
      <c r="A39" s="2" t="s">
        <v>1802</v>
      </c>
      <c r="B39" s="2" t="s">
        <v>1803</v>
      </c>
      <c r="C39" s="2" t="s">
        <v>1804</v>
      </c>
      <c r="D39" s="18">
        <v>1828560539</v>
      </c>
      <c r="E39" s="2" t="s">
        <v>1690</v>
      </c>
      <c r="F39" s="2" t="s">
        <v>1699</v>
      </c>
      <c r="G39" t="b">
        <f t="shared" si="0"/>
        <v>1</v>
      </c>
      <c r="H39" t="str">
        <f t="shared" si="1"/>
        <v>Hyderabad</v>
      </c>
    </row>
    <row r="40" spans="1:8" x14ac:dyDescent="0.4">
      <c r="A40" s="2" t="s">
        <v>1805</v>
      </c>
      <c r="B40" s="2" t="s">
        <v>1806</v>
      </c>
      <c r="C40" s="2" t="s">
        <v>1720</v>
      </c>
      <c r="D40" s="18">
        <v>1707986617706730</v>
      </c>
      <c r="E40" s="2" t="s">
        <v>1690</v>
      </c>
      <c r="F40" s="2" t="s">
        <v>1691</v>
      </c>
      <c r="G40" t="b">
        <f t="shared" si="0"/>
        <v>0</v>
      </c>
      <c r="H40" t="str">
        <f t="shared" si="1"/>
        <v>Hyderabad</v>
      </c>
    </row>
    <row r="41" spans="1:8" x14ac:dyDescent="0.4">
      <c r="A41" s="2" t="s">
        <v>1807</v>
      </c>
      <c r="B41" s="2" t="s">
        <v>1808</v>
      </c>
      <c r="C41" s="2" t="s">
        <v>1809</v>
      </c>
      <c r="D41" s="18">
        <v>205068212235521</v>
      </c>
      <c r="E41" s="2" t="s">
        <v>1703</v>
      </c>
      <c r="F41" s="2" t="s">
        <v>1686</v>
      </c>
      <c r="G41" t="b">
        <f t="shared" si="0"/>
        <v>1</v>
      </c>
      <c r="H41" t="str">
        <f t="shared" si="1"/>
        <v>Mumbai</v>
      </c>
    </row>
    <row r="42" spans="1:8" x14ac:dyDescent="0.4">
      <c r="A42" s="2" t="s">
        <v>1810</v>
      </c>
      <c r="B42" s="2" t="s">
        <v>1811</v>
      </c>
      <c r="C42" s="2" t="s">
        <v>1812</v>
      </c>
      <c r="D42" s="18" t="s">
        <v>3748</v>
      </c>
      <c r="E42" s="2" t="s">
        <v>1730</v>
      </c>
      <c r="F42" s="2" t="s">
        <v>1691</v>
      </c>
      <c r="G42" t="b">
        <f t="shared" si="0"/>
        <v>1</v>
      </c>
      <c r="H42" t="str">
        <f t="shared" si="1"/>
        <v>Pune</v>
      </c>
    </row>
    <row r="43" spans="1:8" x14ac:dyDescent="0.4">
      <c r="A43" s="2" t="s">
        <v>1813</v>
      </c>
      <c r="B43" s="2" t="s">
        <v>1814</v>
      </c>
      <c r="C43" s="2" t="s">
        <v>1815</v>
      </c>
      <c r="D43" s="18">
        <v>12596790898</v>
      </c>
      <c r="E43" s="2" t="s">
        <v>1730</v>
      </c>
      <c r="F43" s="2" t="s">
        <v>1686</v>
      </c>
      <c r="G43" t="b">
        <f t="shared" si="0"/>
        <v>1</v>
      </c>
      <c r="H43" t="str">
        <f t="shared" si="1"/>
        <v>Pune</v>
      </c>
    </row>
    <row r="44" spans="1:8" x14ac:dyDescent="0.4">
      <c r="A44" s="2" t="s">
        <v>1816</v>
      </c>
      <c r="B44" s="2" t="s">
        <v>1817</v>
      </c>
      <c r="C44" s="2" t="s">
        <v>1818</v>
      </c>
      <c r="D44" s="18">
        <v>1436998480220500</v>
      </c>
      <c r="E44" s="2" t="s">
        <v>1703</v>
      </c>
      <c r="F44" s="2" t="s">
        <v>1691</v>
      </c>
      <c r="G44" t="b">
        <f t="shared" si="0"/>
        <v>1</v>
      </c>
      <c r="H44" t="str">
        <f t="shared" si="1"/>
        <v>Mumbai</v>
      </c>
    </row>
    <row r="45" spans="1:8" x14ac:dyDescent="0.4">
      <c r="A45" s="2" t="s">
        <v>1819</v>
      </c>
      <c r="B45" s="2" t="s">
        <v>1820</v>
      </c>
      <c r="C45" s="2" t="s">
        <v>1821</v>
      </c>
      <c r="D45" s="18">
        <v>13869484249598</v>
      </c>
      <c r="E45" s="2" t="s">
        <v>1685</v>
      </c>
      <c r="F45" s="2" t="s">
        <v>1717</v>
      </c>
      <c r="G45" t="b">
        <f t="shared" si="0"/>
        <v>1</v>
      </c>
      <c r="H45" t="str">
        <f t="shared" si="1"/>
        <v>Kolkata</v>
      </c>
    </row>
    <row r="46" spans="1:8" x14ac:dyDescent="0.4">
      <c r="A46" s="2" t="s">
        <v>1822</v>
      </c>
      <c r="B46" s="2" t="s">
        <v>1823</v>
      </c>
      <c r="C46" s="2" t="s">
        <v>1824</v>
      </c>
      <c r="D46" s="18">
        <v>11145788707</v>
      </c>
      <c r="E46" s="2" t="s">
        <v>1703</v>
      </c>
      <c r="F46" s="2" t="s">
        <v>1699</v>
      </c>
      <c r="G46" t="b">
        <f t="shared" si="0"/>
        <v>1</v>
      </c>
      <c r="H46" t="str">
        <f t="shared" si="1"/>
        <v>Mumbai</v>
      </c>
    </row>
    <row r="47" spans="1:8" x14ac:dyDescent="0.4">
      <c r="A47" s="2" t="s">
        <v>1825</v>
      </c>
      <c r="B47" s="2" t="s">
        <v>1826</v>
      </c>
      <c r="C47" s="2" t="s">
        <v>1827</v>
      </c>
      <c r="D47" s="18">
        <v>5238676738</v>
      </c>
      <c r="E47" s="2" t="s">
        <v>1685</v>
      </c>
      <c r="F47" s="2" t="s">
        <v>1686</v>
      </c>
      <c r="G47" t="b">
        <f t="shared" si="0"/>
        <v>1</v>
      </c>
      <c r="H47" t="str">
        <f t="shared" si="1"/>
        <v>Kolkata</v>
      </c>
    </row>
    <row r="48" spans="1:8" x14ac:dyDescent="0.4">
      <c r="A48" s="2" t="s">
        <v>1828</v>
      </c>
      <c r="B48" s="2" t="s">
        <v>1829</v>
      </c>
      <c r="C48" s="2" t="s">
        <v>1830</v>
      </c>
      <c r="D48" s="18">
        <v>1209746191779870</v>
      </c>
      <c r="E48" s="2" t="s">
        <v>1730</v>
      </c>
      <c r="F48" s="2" t="s">
        <v>1686</v>
      </c>
      <c r="G48" t="b">
        <f t="shared" si="0"/>
        <v>1</v>
      </c>
      <c r="H48" t="str">
        <f t="shared" si="1"/>
        <v>Pune</v>
      </c>
    </row>
    <row r="49" spans="1:8" x14ac:dyDescent="0.4">
      <c r="A49" s="2" t="s">
        <v>1831</v>
      </c>
      <c r="B49" s="2" t="s">
        <v>1832</v>
      </c>
      <c r="C49" s="2" t="s">
        <v>1833</v>
      </c>
      <c r="D49" s="18">
        <v>12996872258</v>
      </c>
      <c r="E49" s="2" t="s">
        <v>1730</v>
      </c>
      <c r="F49" s="2" t="s">
        <v>1717</v>
      </c>
      <c r="G49" t="b">
        <f t="shared" si="0"/>
        <v>1</v>
      </c>
      <c r="H49" t="str">
        <f t="shared" si="1"/>
        <v>Pune</v>
      </c>
    </row>
    <row r="50" spans="1:8" x14ac:dyDescent="0.4">
      <c r="A50" s="2" t="s">
        <v>1834</v>
      </c>
      <c r="B50" s="2" t="s">
        <v>1835</v>
      </c>
      <c r="C50" s="2" t="s">
        <v>1720</v>
      </c>
      <c r="D50" s="18">
        <v>13708580623</v>
      </c>
      <c r="E50" s="2" t="s">
        <v>1739</v>
      </c>
      <c r="F50" s="2" t="s">
        <v>1717</v>
      </c>
      <c r="G50" t="b">
        <f t="shared" si="0"/>
        <v>0</v>
      </c>
      <c r="H50" t="str">
        <f t="shared" si="1"/>
        <v>Chennai</v>
      </c>
    </row>
    <row r="51" spans="1:8" x14ac:dyDescent="0.4">
      <c r="A51" s="2" t="s">
        <v>1836</v>
      </c>
      <c r="B51" s="2" t="s">
        <v>1837</v>
      </c>
      <c r="C51" s="2" t="s">
        <v>1838</v>
      </c>
      <c r="D51" s="18" t="s">
        <v>3749</v>
      </c>
      <c r="E51" s="2" t="s">
        <v>1713</v>
      </c>
      <c r="F51" s="2" t="s">
        <v>1691</v>
      </c>
      <c r="G51" t="b">
        <f t="shared" si="0"/>
        <v>1</v>
      </c>
      <c r="H51" t="str">
        <f t="shared" si="1"/>
        <v>Bangalore</v>
      </c>
    </row>
    <row r="52" spans="1:8" x14ac:dyDescent="0.4">
      <c r="A52" s="2" t="s">
        <v>1839</v>
      </c>
      <c r="B52" s="2" t="s">
        <v>1840</v>
      </c>
      <c r="C52" s="2" t="s">
        <v>1841</v>
      </c>
      <c r="D52" s="18" t="s">
        <v>3750</v>
      </c>
      <c r="E52" s="2" t="s">
        <v>1730</v>
      </c>
      <c r="F52" s="2" t="s">
        <v>1686</v>
      </c>
      <c r="G52" t="b">
        <f t="shared" si="0"/>
        <v>1</v>
      </c>
      <c r="H52" t="str">
        <f t="shared" si="1"/>
        <v>Pune</v>
      </c>
    </row>
    <row r="53" spans="1:8" x14ac:dyDescent="0.4">
      <c r="A53" s="2" t="s">
        <v>1842</v>
      </c>
      <c r="B53" s="2" t="s">
        <v>1843</v>
      </c>
      <c r="C53" s="2" t="s">
        <v>1720</v>
      </c>
      <c r="D53" s="18">
        <v>9632594232894</v>
      </c>
      <c r="E53" s="2" t="s">
        <v>1730</v>
      </c>
      <c r="F53" s="2" t="s">
        <v>1691</v>
      </c>
      <c r="G53" t="b">
        <f t="shared" si="0"/>
        <v>0</v>
      </c>
      <c r="H53" t="str">
        <f t="shared" si="1"/>
        <v>Pune</v>
      </c>
    </row>
    <row r="54" spans="1:8" x14ac:dyDescent="0.4">
      <c r="A54" s="2" t="s">
        <v>1844</v>
      </c>
      <c r="B54" s="2" t="s">
        <v>1845</v>
      </c>
      <c r="C54" s="2" t="s">
        <v>1846</v>
      </c>
      <c r="D54" s="18" t="s">
        <v>3751</v>
      </c>
      <c r="E54" s="2" t="s">
        <v>1698</v>
      </c>
      <c r="F54" s="2" t="s">
        <v>1717</v>
      </c>
      <c r="G54" t="b">
        <f t="shared" si="0"/>
        <v>1</v>
      </c>
      <c r="H54" t="str">
        <f t="shared" si="1"/>
        <v>Delhi</v>
      </c>
    </row>
    <row r="55" spans="1:8" x14ac:dyDescent="0.4">
      <c r="A55" s="2" t="s">
        <v>1847</v>
      </c>
      <c r="B55" s="2" t="s">
        <v>1848</v>
      </c>
      <c r="C55" s="2" t="s">
        <v>1849</v>
      </c>
      <c r="D55" s="18">
        <v>172562926933589</v>
      </c>
      <c r="E55" s="2" t="s">
        <v>1739</v>
      </c>
      <c r="F55" s="2" t="s">
        <v>1686</v>
      </c>
      <c r="G55" t="b">
        <f t="shared" si="0"/>
        <v>1</v>
      </c>
      <c r="H55" t="str">
        <f t="shared" si="1"/>
        <v>Chennai</v>
      </c>
    </row>
    <row r="56" spans="1:8" x14ac:dyDescent="0.4">
      <c r="A56" s="2" t="s">
        <v>1850</v>
      </c>
      <c r="B56" s="2" t="s">
        <v>1851</v>
      </c>
      <c r="C56" s="2" t="s">
        <v>1852</v>
      </c>
      <c r="D56" s="18">
        <v>1513818655078460</v>
      </c>
      <c r="E56" s="2" t="s">
        <v>1739</v>
      </c>
      <c r="F56" s="2" t="s">
        <v>1699</v>
      </c>
      <c r="G56" t="b">
        <f t="shared" si="0"/>
        <v>1</v>
      </c>
      <c r="H56" t="str">
        <f t="shared" si="1"/>
        <v>Chennai</v>
      </c>
    </row>
    <row r="57" spans="1:8" x14ac:dyDescent="0.4">
      <c r="A57" s="2" t="s">
        <v>1853</v>
      </c>
      <c r="B57" s="2" t="s">
        <v>1854</v>
      </c>
      <c r="C57" s="2" t="s">
        <v>1855</v>
      </c>
      <c r="D57" s="18">
        <v>95744303491891</v>
      </c>
      <c r="E57" s="2" t="s">
        <v>1690</v>
      </c>
      <c r="F57" s="2" t="s">
        <v>1699</v>
      </c>
      <c r="G57" t="b">
        <f t="shared" si="0"/>
        <v>1</v>
      </c>
      <c r="H57" t="str">
        <f t="shared" si="1"/>
        <v>Hyderabad</v>
      </c>
    </row>
    <row r="58" spans="1:8" x14ac:dyDescent="0.4">
      <c r="A58" s="2" t="s">
        <v>1856</v>
      </c>
      <c r="B58" s="2" t="s">
        <v>1857</v>
      </c>
      <c r="C58" s="2" t="s">
        <v>1858</v>
      </c>
      <c r="D58" s="18">
        <v>7972038593</v>
      </c>
      <c r="E58" s="2" t="s">
        <v>1713</v>
      </c>
      <c r="F58" s="2" t="s">
        <v>1686</v>
      </c>
      <c r="G58" t="b">
        <f t="shared" si="0"/>
        <v>1</v>
      </c>
      <c r="H58" t="str">
        <f t="shared" si="1"/>
        <v>Bangalore</v>
      </c>
    </row>
    <row r="59" spans="1:8" x14ac:dyDescent="0.4">
      <c r="A59" s="2" t="s">
        <v>1859</v>
      </c>
      <c r="B59" s="2" t="s">
        <v>1860</v>
      </c>
      <c r="C59" s="2" t="s">
        <v>1720</v>
      </c>
      <c r="D59" s="18">
        <v>153641547155</v>
      </c>
      <c r="E59" s="2" t="s">
        <v>1713</v>
      </c>
      <c r="F59" s="2" t="s">
        <v>1686</v>
      </c>
      <c r="G59" t="b">
        <f t="shared" si="0"/>
        <v>0</v>
      </c>
      <c r="H59" t="str">
        <f t="shared" si="1"/>
        <v>Bangalore</v>
      </c>
    </row>
    <row r="60" spans="1:8" x14ac:dyDescent="0.4">
      <c r="A60" s="2" t="s">
        <v>1861</v>
      </c>
      <c r="B60" s="2" t="s">
        <v>1862</v>
      </c>
      <c r="C60" s="2" t="s">
        <v>1863</v>
      </c>
      <c r="D60" s="18">
        <v>1325936781</v>
      </c>
      <c r="E60" s="2" t="s">
        <v>1685</v>
      </c>
      <c r="F60" s="2" t="s">
        <v>1717</v>
      </c>
      <c r="G60" t="b">
        <f t="shared" si="0"/>
        <v>1</v>
      </c>
      <c r="H60" t="str">
        <f t="shared" si="1"/>
        <v>Kolkata</v>
      </c>
    </row>
    <row r="61" spans="1:8" x14ac:dyDescent="0.4">
      <c r="A61" s="2" t="s">
        <v>1864</v>
      </c>
      <c r="B61" s="2" t="s">
        <v>1865</v>
      </c>
      <c r="C61" s="2" t="s">
        <v>1866</v>
      </c>
      <c r="D61" s="18">
        <v>6750094214</v>
      </c>
      <c r="E61" s="2" t="s">
        <v>1703</v>
      </c>
      <c r="F61" s="2" t="s">
        <v>1686</v>
      </c>
      <c r="G61" t="b">
        <f t="shared" si="0"/>
        <v>1</v>
      </c>
      <c r="H61" t="str">
        <f t="shared" si="1"/>
        <v>Mumbai</v>
      </c>
    </row>
    <row r="62" spans="1:8" x14ac:dyDescent="0.4">
      <c r="A62" s="2" t="s">
        <v>1867</v>
      </c>
      <c r="B62" s="2" t="s">
        <v>1868</v>
      </c>
      <c r="C62" s="2" t="s">
        <v>1869</v>
      </c>
      <c r="D62" s="18">
        <v>1105276981987800</v>
      </c>
      <c r="E62" s="2" t="s">
        <v>1685</v>
      </c>
      <c r="F62" s="2" t="s">
        <v>1686</v>
      </c>
      <c r="G62" t="b">
        <f t="shared" si="0"/>
        <v>1</v>
      </c>
      <c r="H62" t="str">
        <f t="shared" si="1"/>
        <v>Kolkata</v>
      </c>
    </row>
    <row r="63" spans="1:8" x14ac:dyDescent="0.4">
      <c r="A63" s="2" t="s">
        <v>1870</v>
      </c>
      <c r="B63" s="2" t="s">
        <v>1871</v>
      </c>
      <c r="C63" s="2" t="s">
        <v>1872</v>
      </c>
      <c r="D63" s="18">
        <v>127045238885622</v>
      </c>
      <c r="E63" s="2" t="s">
        <v>1698</v>
      </c>
      <c r="F63" s="2" t="s">
        <v>1699</v>
      </c>
      <c r="G63" t="b">
        <f t="shared" si="0"/>
        <v>1</v>
      </c>
      <c r="H63" t="str">
        <f t="shared" si="1"/>
        <v>Delhi</v>
      </c>
    </row>
    <row r="64" spans="1:8" x14ac:dyDescent="0.4">
      <c r="A64" s="2" t="s">
        <v>1873</v>
      </c>
      <c r="B64" s="2" t="s">
        <v>1874</v>
      </c>
      <c r="C64" s="2" t="s">
        <v>1875</v>
      </c>
      <c r="D64" s="18">
        <v>866059867874422</v>
      </c>
      <c r="E64" s="2" t="s">
        <v>1685</v>
      </c>
      <c r="F64" s="2" t="s">
        <v>1717</v>
      </c>
      <c r="G64" t="b">
        <f t="shared" si="0"/>
        <v>1</v>
      </c>
      <c r="H64" t="str">
        <f t="shared" si="1"/>
        <v>Kolkata</v>
      </c>
    </row>
    <row r="65" spans="1:8" x14ac:dyDescent="0.4">
      <c r="A65" s="2" t="s">
        <v>1876</v>
      </c>
      <c r="B65" s="2" t="s">
        <v>1877</v>
      </c>
      <c r="C65" s="2" t="s">
        <v>1878</v>
      </c>
      <c r="D65" s="18">
        <v>58548596559428</v>
      </c>
      <c r="E65" s="2" t="s">
        <v>1690</v>
      </c>
      <c r="F65" s="2" t="s">
        <v>1691</v>
      </c>
      <c r="G65" t="b">
        <f t="shared" si="0"/>
        <v>1</v>
      </c>
      <c r="H65" t="str">
        <f t="shared" si="1"/>
        <v>Hyderabad</v>
      </c>
    </row>
    <row r="66" spans="1:8" x14ac:dyDescent="0.4">
      <c r="A66" s="2" t="s">
        <v>1879</v>
      </c>
      <c r="B66" s="2" t="s">
        <v>1880</v>
      </c>
      <c r="C66" s="2" t="s">
        <v>1881</v>
      </c>
      <c r="D66" s="18" t="s">
        <v>3752</v>
      </c>
      <c r="E66" s="2" t="s">
        <v>1713</v>
      </c>
      <c r="F66" s="2" t="s">
        <v>1686</v>
      </c>
      <c r="G66" t="b">
        <f t="shared" ref="G66:G129" si="2">ISNUMBER(SEARCH("@",C66))</f>
        <v>1</v>
      </c>
      <c r="H66" t="str">
        <f t="shared" si="1"/>
        <v>Bangalore</v>
      </c>
    </row>
    <row r="67" spans="1:8" x14ac:dyDescent="0.4">
      <c r="A67" s="2" t="s">
        <v>1882</v>
      </c>
      <c r="B67" s="2" t="s">
        <v>1883</v>
      </c>
      <c r="C67" s="2" t="s">
        <v>1884</v>
      </c>
      <c r="D67" s="18" t="s">
        <v>1885</v>
      </c>
      <c r="E67" s="2" t="s">
        <v>1730</v>
      </c>
      <c r="F67" s="2" t="s">
        <v>1717</v>
      </c>
      <c r="G67" t="b">
        <f t="shared" si="2"/>
        <v>1</v>
      </c>
      <c r="H67" t="str">
        <f t="shared" ref="H67:H130" si="3">PROPER(E67)</f>
        <v>Pune</v>
      </c>
    </row>
    <row r="68" spans="1:8" x14ac:dyDescent="0.4">
      <c r="A68" s="2" t="s">
        <v>1886</v>
      </c>
      <c r="B68" s="2" t="s">
        <v>1887</v>
      </c>
      <c r="C68" s="2" t="s">
        <v>1888</v>
      </c>
      <c r="D68" s="18">
        <v>513055708368214</v>
      </c>
      <c r="E68" s="2" t="s">
        <v>1685</v>
      </c>
      <c r="F68" s="2" t="s">
        <v>1717</v>
      </c>
      <c r="G68" t="b">
        <f t="shared" si="2"/>
        <v>1</v>
      </c>
      <c r="H68" t="str">
        <f t="shared" si="3"/>
        <v>Kolkata</v>
      </c>
    </row>
    <row r="69" spans="1:8" x14ac:dyDescent="0.4">
      <c r="A69" s="2" t="s">
        <v>1889</v>
      </c>
      <c r="B69" s="2" t="s">
        <v>1890</v>
      </c>
      <c r="C69" s="2" t="s">
        <v>1720</v>
      </c>
      <c r="D69" s="18">
        <v>48896699727367</v>
      </c>
      <c r="E69" s="2" t="s">
        <v>1730</v>
      </c>
      <c r="F69" s="2" t="s">
        <v>1699</v>
      </c>
      <c r="G69" t="b">
        <f t="shared" si="2"/>
        <v>0</v>
      </c>
      <c r="H69" t="str">
        <f t="shared" si="3"/>
        <v>Pune</v>
      </c>
    </row>
    <row r="70" spans="1:8" x14ac:dyDescent="0.4">
      <c r="A70" s="2" t="s">
        <v>1891</v>
      </c>
      <c r="B70" s="2" t="s">
        <v>1892</v>
      </c>
      <c r="C70" s="2" t="s">
        <v>1893</v>
      </c>
      <c r="D70" s="18">
        <v>174620258254318</v>
      </c>
      <c r="E70" s="2" t="s">
        <v>1730</v>
      </c>
      <c r="F70" s="2" t="s">
        <v>1686</v>
      </c>
      <c r="G70" t="b">
        <f t="shared" si="2"/>
        <v>1</v>
      </c>
      <c r="H70" t="str">
        <f t="shared" si="3"/>
        <v>Pune</v>
      </c>
    </row>
    <row r="71" spans="1:8" x14ac:dyDescent="0.4">
      <c r="A71" s="2" t="s">
        <v>1894</v>
      </c>
      <c r="B71" s="2" t="s">
        <v>1895</v>
      </c>
      <c r="C71" s="2" t="s">
        <v>1896</v>
      </c>
      <c r="D71" s="18">
        <v>2812312392</v>
      </c>
      <c r="E71" s="2" t="s">
        <v>1690</v>
      </c>
      <c r="F71" s="2" t="s">
        <v>1686</v>
      </c>
      <c r="G71" t="b">
        <f t="shared" si="2"/>
        <v>1</v>
      </c>
      <c r="H71" t="str">
        <f t="shared" si="3"/>
        <v>Hyderabad</v>
      </c>
    </row>
    <row r="72" spans="1:8" x14ac:dyDescent="0.4">
      <c r="A72" s="2" t="s">
        <v>1897</v>
      </c>
      <c r="B72" s="2" t="s">
        <v>1898</v>
      </c>
      <c r="C72" s="2" t="s">
        <v>1720</v>
      </c>
      <c r="D72" s="18">
        <v>104910601836472</v>
      </c>
      <c r="E72" s="2" t="s">
        <v>1739</v>
      </c>
      <c r="F72" s="2" t="s">
        <v>1717</v>
      </c>
      <c r="G72" t="b">
        <f t="shared" si="2"/>
        <v>0</v>
      </c>
      <c r="H72" t="str">
        <f t="shared" si="3"/>
        <v>Chennai</v>
      </c>
    </row>
    <row r="73" spans="1:8" x14ac:dyDescent="0.4">
      <c r="A73" s="2" t="s">
        <v>1899</v>
      </c>
      <c r="B73" s="2" t="s">
        <v>1900</v>
      </c>
      <c r="C73" s="2" t="s">
        <v>1901</v>
      </c>
      <c r="D73" s="18">
        <v>8750827681</v>
      </c>
      <c r="E73" s="2" t="s">
        <v>1739</v>
      </c>
      <c r="F73" s="2" t="s">
        <v>1686</v>
      </c>
      <c r="G73" t="b">
        <f t="shared" si="2"/>
        <v>1</v>
      </c>
      <c r="H73" t="str">
        <f t="shared" si="3"/>
        <v>Chennai</v>
      </c>
    </row>
    <row r="74" spans="1:8" x14ac:dyDescent="0.4">
      <c r="A74" s="2" t="s">
        <v>1902</v>
      </c>
      <c r="B74" s="2" t="s">
        <v>1903</v>
      </c>
      <c r="C74" s="2" t="s">
        <v>1904</v>
      </c>
      <c r="D74" s="18">
        <v>1722577545847260</v>
      </c>
      <c r="E74" s="2" t="s">
        <v>1713</v>
      </c>
      <c r="F74" s="2" t="s">
        <v>1699</v>
      </c>
      <c r="G74" t="b">
        <f t="shared" si="2"/>
        <v>1</v>
      </c>
      <c r="H74" t="str">
        <f t="shared" si="3"/>
        <v>Bangalore</v>
      </c>
    </row>
    <row r="75" spans="1:8" x14ac:dyDescent="0.4">
      <c r="A75" s="2" t="s">
        <v>1905</v>
      </c>
      <c r="B75" s="2" t="s">
        <v>1906</v>
      </c>
      <c r="C75" s="2" t="s">
        <v>1907</v>
      </c>
      <c r="D75" s="18">
        <v>10529187683</v>
      </c>
      <c r="E75" s="2" t="s">
        <v>1739</v>
      </c>
      <c r="F75" s="2" t="s">
        <v>1699</v>
      </c>
      <c r="G75" t="b">
        <f t="shared" si="2"/>
        <v>1</v>
      </c>
      <c r="H75" t="str">
        <f t="shared" si="3"/>
        <v>Chennai</v>
      </c>
    </row>
    <row r="76" spans="1:8" x14ac:dyDescent="0.4">
      <c r="A76" s="2" t="s">
        <v>1908</v>
      </c>
      <c r="B76" s="2" t="s">
        <v>1909</v>
      </c>
      <c r="C76" s="2" t="s">
        <v>1910</v>
      </c>
      <c r="D76" s="18">
        <v>116082717217337</v>
      </c>
      <c r="E76" s="2" t="s">
        <v>1690</v>
      </c>
      <c r="F76" s="2" t="s">
        <v>1699</v>
      </c>
      <c r="G76" t="b">
        <f t="shared" si="2"/>
        <v>1</v>
      </c>
      <c r="H76" t="str">
        <f t="shared" si="3"/>
        <v>Hyderabad</v>
      </c>
    </row>
    <row r="77" spans="1:8" x14ac:dyDescent="0.4">
      <c r="A77" s="2" t="s">
        <v>1911</v>
      </c>
      <c r="B77" s="2" t="s">
        <v>1912</v>
      </c>
      <c r="C77" s="2" t="s">
        <v>1913</v>
      </c>
      <c r="D77" s="18">
        <v>13992052229993</v>
      </c>
      <c r="E77" s="2" t="s">
        <v>1703</v>
      </c>
      <c r="F77" s="2" t="s">
        <v>1686</v>
      </c>
      <c r="G77" t="b">
        <f t="shared" si="2"/>
        <v>1</v>
      </c>
      <c r="H77" t="str">
        <f t="shared" si="3"/>
        <v>Mumbai</v>
      </c>
    </row>
    <row r="78" spans="1:8" x14ac:dyDescent="0.4">
      <c r="A78" s="2" t="s">
        <v>1914</v>
      </c>
      <c r="B78" s="2" t="s">
        <v>1915</v>
      </c>
      <c r="C78" s="2" t="s">
        <v>1916</v>
      </c>
      <c r="D78" s="18">
        <v>162165914388232</v>
      </c>
      <c r="E78" s="2" t="s">
        <v>1703</v>
      </c>
      <c r="F78" s="2" t="s">
        <v>1686</v>
      </c>
      <c r="G78" t="b">
        <f t="shared" si="2"/>
        <v>1</v>
      </c>
      <c r="H78" t="str">
        <f t="shared" si="3"/>
        <v>Mumbai</v>
      </c>
    </row>
    <row r="79" spans="1:8" x14ac:dyDescent="0.4">
      <c r="A79" s="2" t="s">
        <v>1917</v>
      </c>
      <c r="B79" s="2" t="s">
        <v>1918</v>
      </c>
      <c r="C79" s="2" t="s">
        <v>1919</v>
      </c>
      <c r="D79" s="18">
        <v>539835844617773</v>
      </c>
      <c r="E79" s="2" t="s">
        <v>1685</v>
      </c>
      <c r="F79" s="2" t="s">
        <v>1699</v>
      </c>
      <c r="G79" t="b">
        <f t="shared" si="2"/>
        <v>1</v>
      </c>
      <c r="H79" t="str">
        <f t="shared" si="3"/>
        <v>Kolkata</v>
      </c>
    </row>
    <row r="80" spans="1:8" x14ac:dyDescent="0.4">
      <c r="A80" s="2" t="s">
        <v>1920</v>
      </c>
      <c r="B80" s="2" t="s">
        <v>1921</v>
      </c>
      <c r="C80" s="2" t="s">
        <v>1922</v>
      </c>
      <c r="D80" s="18" t="s">
        <v>3753</v>
      </c>
      <c r="E80" s="2" t="s">
        <v>1739</v>
      </c>
      <c r="F80" s="2" t="s">
        <v>1691</v>
      </c>
      <c r="G80" t="b">
        <f t="shared" si="2"/>
        <v>1</v>
      </c>
      <c r="H80" t="str">
        <f t="shared" si="3"/>
        <v>Chennai</v>
      </c>
    </row>
    <row r="81" spans="1:8" x14ac:dyDescent="0.4">
      <c r="A81" s="2" t="s">
        <v>1923</v>
      </c>
      <c r="B81" s="2" t="s">
        <v>1924</v>
      </c>
      <c r="C81" s="2" t="s">
        <v>1925</v>
      </c>
      <c r="D81" s="18">
        <v>11279970292712</v>
      </c>
      <c r="E81" s="2" t="s">
        <v>1698</v>
      </c>
      <c r="F81" s="2" t="s">
        <v>1717</v>
      </c>
      <c r="G81" t="b">
        <f t="shared" si="2"/>
        <v>1</v>
      </c>
      <c r="H81" t="str">
        <f t="shared" si="3"/>
        <v>Delhi</v>
      </c>
    </row>
    <row r="82" spans="1:8" x14ac:dyDescent="0.4">
      <c r="A82" s="2" t="s">
        <v>1926</v>
      </c>
      <c r="B82" s="2" t="s">
        <v>1927</v>
      </c>
      <c r="C82" s="2" t="s">
        <v>1928</v>
      </c>
      <c r="D82" s="18" t="s">
        <v>1929</v>
      </c>
      <c r="E82" s="2" t="s">
        <v>1703</v>
      </c>
      <c r="F82" s="2" t="s">
        <v>1691</v>
      </c>
      <c r="G82" t="b">
        <f t="shared" si="2"/>
        <v>1</v>
      </c>
      <c r="H82" t="str">
        <f t="shared" si="3"/>
        <v>Mumbai</v>
      </c>
    </row>
    <row r="83" spans="1:8" x14ac:dyDescent="0.4">
      <c r="A83" s="2" t="s">
        <v>1930</v>
      </c>
      <c r="B83" s="2" t="s">
        <v>1931</v>
      </c>
      <c r="C83" s="2" t="s">
        <v>1932</v>
      </c>
      <c r="D83" s="18" t="s">
        <v>3754</v>
      </c>
      <c r="E83" s="2" t="s">
        <v>1713</v>
      </c>
      <c r="F83" s="2" t="s">
        <v>1686</v>
      </c>
      <c r="G83" t="b">
        <f t="shared" si="2"/>
        <v>1</v>
      </c>
      <c r="H83" t="str">
        <f t="shared" si="3"/>
        <v>Bangalore</v>
      </c>
    </row>
    <row r="84" spans="1:8" x14ac:dyDescent="0.4">
      <c r="A84" s="2" t="s">
        <v>1933</v>
      </c>
      <c r="B84" s="2" t="s">
        <v>1934</v>
      </c>
      <c r="C84" s="2" t="s">
        <v>1935</v>
      </c>
      <c r="D84" s="18" t="s">
        <v>3755</v>
      </c>
      <c r="E84" s="2" t="s">
        <v>1713</v>
      </c>
      <c r="F84" s="2" t="s">
        <v>1717</v>
      </c>
      <c r="G84" t="b">
        <f t="shared" si="2"/>
        <v>1</v>
      </c>
      <c r="H84" t="str">
        <f t="shared" si="3"/>
        <v>Bangalore</v>
      </c>
    </row>
    <row r="85" spans="1:8" x14ac:dyDescent="0.4">
      <c r="A85" s="2" t="s">
        <v>1936</v>
      </c>
      <c r="B85" s="2" t="s">
        <v>1937</v>
      </c>
      <c r="C85" s="2" t="s">
        <v>1938</v>
      </c>
      <c r="D85" s="18">
        <v>17535852386</v>
      </c>
      <c r="E85" s="2" t="s">
        <v>1685</v>
      </c>
      <c r="F85" s="2" t="s">
        <v>1717</v>
      </c>
      <c r="G85" t="b">
        <f t="shared" si="2"/>
        <v>1</v>
      </c>
      <c r="H85" t="str">
        <f t="shared" si="3"/>
        <v>Kolkata</v>
      </c>
    </row>
    <row r="86" spans="1:8" x14ac:dyDescent="0.4">
      <c r="A86" s="2" t="s">
        <v>1939</v>
      </c>
      <c r="B86" s="2" t="s">
        <v>1940</v>
      </c>
      <c r="C86" s="2" t="s">
        <v>1720</v>
      </c>
      <c r="D86" s="18" t="s">
        <v>1941</v>
      </c>
      <c r="E86" s="2" t="s">
        <v>1739</v>
      </c>
      <c r="F86" s="2" t="s">
        <v>1686</v>
      </c>
      <c r="G86" t="b">
        <f t="shared" si="2"/>
        <v>0</v>
      </c>
      <c r="H86" t="str">
        <f t="shared" si="3"/>
        <v>Chennai</v>
      </c>
    </row>
    <row r="87" spans="1:8" x14ac:dyDescent="0.4">
      <c r="A87" s="2" t="s">
        <v>1942</v>
      </c>
      <c r="B87" s="2" t="s">
        <v>1943</v>
      </c>
      <c r="C87" s="2" t="s">
        <v>1944</v>
      </c>
      <c r="D87" s="18">
        <v>171523910292950</v>
      </c>
      <c r="E87" s="2" t="s">
        <v>1685</v>
      </c>
      <c r="F87" s="2" t="s">
        <v>1691</v>
      </c>
      <c r="G87" t="b">
        <f t="shared" si="2"/>
        <v>1</v>
      </c>
      <c r="H87" t="str">
        <f t="shared" si="3"/>
        <v>Kolkata</v>
      </c>
    </row>
    <row r="88" spans="1:8" x14ac:dyDescent="0.4">
      <c r="A88" s="2" t="s">
        <v>1945</v>
      </c>
      <c r="B88" s="2" t="s">
        <v>1946</v>
      </c>
      <c r="C88" s="2" t="s">
        <v>1947</v>
      </c>
      <c r="D88" s="18">
        <v>4374830930</v>
      </c>
      <c r="E88" s="2" t="s">
        <v>1713</v>
      </c>
      <c r="F88" s="2" t="s">
        <v>1691</v>
      </c>
      <c r="G88" t="b">
        <f t="shared" si="2"/>
        <v>1</v>
      </c>
      <c r="H88" t="str">
        <f t="shared" si="3"/>
        <v>Bangalore</v>
      </c>
    </row>
    <row r="89" spans="1:8" x14ac:dyDescent="0.4">
      <c r="A89" s="2" t="s">
        <v>1948</v>
      </c>
      <c r="B89" s="2" t="s">
        <v>1949</v>
      </c>
      <c r="C89" s="2" t="s">
        <v>1950</v>
      </c>
      <c r="D89" s="18">
        <v>16713971912</v>
      </c>
      <c r="E89" s="2" t="s">
        <v>1730</v>
      </c>
      <c r="F89" s="2" t="s">
        <v>1691</v>
      </c>
      <c r="G89" t="b">
        <f t="shared" si="2"/>
        <v>1</v>
      </c>
      <c r="H89" t="str">
        <f t="shared" si="3"/>
        <v>Pune</v>
      </c>
    </row>
    <row r="90" spans="1:8" x14ac:dyDescent="0.4">
      <c r="A90" s="2" t="s">
        <v>1951</v>
      </c>
      <c r="B90" s="2" t="s">
        <v>1952</v>
      </c>
      <c r="C90" s="2" t="s">
        <v>1953</v>
      </c>
      <c r="D90" s="18" t="s">
        <v>3756</v>
      </c>
      <c r="E90" s="2" t="s">
        <v>1730</v>
      </c>
      <c r="F90" s="2" t="s">
        <v>1691</v>
      </c>
      <c r="G90" t="b">
        <f t="shared" si="2"/>
        <v>1</v>
      </c>
      <c r="H90" t="str">
        <f t="shared" si="3"/>
        <v>Pune</v>
      </c>
    </row>
    <row r="91" spans="1:8" x14ac:dyDescent="0.4">
      <c r="A91" s="2" t="s">
        <v>1954</v>
      </c>
      <c r="B91" s="2" t="s">
        <v>1955</v>
      </c>
      <c r="C91" s="2" t="s">
        <v>1956</v>
      </c>
      <c r="D91" s="18">
        <v>1111661220190720</v>
      </c>
      <c r="E91" s="2" t="s">
        <v>1713</v>
      </c>
      <c r="F91" s="2" t="s">
        <v>1699</v>
      </c>
      <c r="G91" t="b">
        <f t="shared" si="2"/>
        <v>1</v>
      </c>
      <c r="H91" t="str">
        <f t="shared" si="3"/>
        <v>Bangalore</v>
      </c>
    </row>
    <row r="92" spans="1:8" x14ac:dyDescent="0.4">
      <c r="A92" s="2" t="s">
        <v>1957</v>
      </c>
      <c r="B92" s="2" t="s">
        <v>1958</v>
      </c>
      <c r="C92" s="2" t="s">
        <v>62</v>
      </c>
      <c r="D92" s="18">
        <v>1873393049366530</v>
      </c>
      <c r="E92" s="2" t="s">
        <v>1739</v>
      </c>
      <c r="F92" s="2" t="s">
        <v>1717</v>
      </c>
      <c r="G92" t="b">
        <f t="shared" si="2"/>
        <v>1</v>
      </c>
      <c r="H92" t="str">
        <f t="shared" si="3"/>
        <v>Chennai</v>
      </c>
    </row>
    <row r="93" spans="1:8" x14ac:dyDescent="0.4">
      <c r="A93" s="2" t="s">
        <v>1959</v>
      </c>
      <c r="B93" s="2" t="s">
        <v>1960</v>
      </c>
      <c r="C93" s="2" t="s">
        <v>1961</v>
      </c>
      <c r="D93" s="18" t="s">
        <v>1962</v>
      </c>
      <c r="E93" s="2" t="s">
        <v>1703</v>
      </c>
      <c r="F93" s="2" t="s">
        <v>1691</v>
      </c>
      <c r="G93" t="b">
        <f t="shared" si="2"/>
        <v>1</v>
      </c>
      <c r="H93" t="str">
        <f t="shared" si="3"/>
        <v>Mumbai</v>
      </c>
    </row>
    <row r="94" spans="1:8" x14ac:dyDescent="0.4">
      <c r="A94" s="2" t="s">
        <v>1963</v>
      </c>
      <c r="B94" s="2" t="s">
        <v>1964</v>
      </c>
      <c r="C94" s="2" t="s">
        <v>1965</v>
      </c>
      <c r="D94" s="18">
        <v>8682509522946</v>
      </c>
      <c r="E94" s="2" t="s">
        <v>1703</v>
      </c>
      <c r="F94" s="2" t="s">
        <v>1686</v>
      </c>
      <c r="G94" t="b">
        <f t="shared" si="2"/>
        <v>1</v>
      </c>
      <c r="H94" t="str">
        <f t="shared" si="3"/>
        <v>Mumbai</v>
      </c>
    </row>
    <row r="95" spans="1:8" x14ac:dyDescent="0.4">
      <c r="A95" s="2" t="s">
        <v>1966</v>
      </c>
      <c r="B95" s="2" t="s">
        <v>1967</v>
      </c>
      <c r="C95" s="2" t="s">
        <v>1968</v>
      </c>
      <c r="D95" s="18" t="s">
        <v>3757</v>
      </c>
      <c r="E95" s="2" t="s">
        <v>1698</v>
      </c>
      <c r="F95" s="2" t="s">
        <v>1699</v>
      </c>
      <c r="G95" t="b">
        <f t="shared" si="2"/>
        <v>1</v>
      </c>
      <c r="H95" t="str">
        <f t="shared" si="3"/>
        <v>Delhi</v>
      </c>
    </row>
    <row r="96" spans="1:8" x14ac:dyDescent="0.4">
      <c r="A96" s="2" t="s">
        <v>1969</v>
      </c>
      <c r="B96" s="2" t="s">
        <v>1970</v>
      </c>
      <c r="C96" s="2" t="s">
        <v>1971</v>
      </c>
      <c r="D96" s="18">
        <v>15297013712436</v>
      </c>
      <c r="E96" s="2" t="s">
        <v>1690</v>
      </c>
      <c r="F96" s="2" t="s">
        <v>1717</v>
      </c>
      <c r="G96" t="b">
        <f t="shared" si="2"/>
        <v>1</v>
      </c>
      <c r="H96" t="str">
        <f t="shared" si="3"/>
        <v>Hyderabad</v>
      </c>
    </row>
    <row r="97" spans="1:8" x14ac:dyDescent="0.4">
      <c r="A97" s="2" t="s">
        <v>1972</v>
      </c>
      <c r="B97" s="2" t="s">
        <v>1973</v>
      </c>
      <c r="C97" s="2" t="s">
        <v>1974</v>
      </c>
      <c r="D97" s="18" t="s">
        <v>3758</v>
      </c>
      <c r="E97" s="2" t="s">
        <v>1698</v>
      </c>
      <c r="F97" s="2" t="s">
        <v>1686</v>
      </c>
      <c r="G97" t="b">
        <f t="shared" si="2"/>
        <v>1</v>
      </c>
      <c r="H97" t="str">
        <f t="shared" si="3"/>
        <v>Delhi</v>
      </c>
    </row>
    <row r="98" spans="1:8" x14ac:dyDescent="0.4">
      <c r="A98" s="2" t="s">
        <v>1975</v>
      </c>
      <c r="B98" s="2" t="s">
        <v>1976</v>
      </c>
      <c r="C98" s="2" t="s">
        <v>1977</v>
      </c>
      <c r="D98" s="18" t="s">
        <v>3759</v>
      </c>
      <c r="E98" s="2" t="s">
        <v>1685</v>
      </c>
      <c r="F98" s="2" t="s">
        <v>1699</v>
      </c>
      <c r="G98" t="b">
        <f t="shared" si="2"/>
        <v>1</v>
      </c>
      <c r="H98" t="str">
        <f t="shared" si="3"/>
        <v>Kolkata</v>
      </c>
    </row>
    <row r="99" spans="1:8" x14ac:dyDescent="0.4">
      <c r="A99" s="2" t="s">
        <v>1978</v>
      </c>
      <c r="B99" s="2" t="s">
        <v>1979</v>
      </c>
      <c r="C99" s="2" t="s">
        <v>1980</v>
      </c>
      <c r="D99" s="18">
        <v>40299071669063</v>
      </c>
      <c r="E99" s="2" t="s">
        <v>1739</v>
      </c>
      <c r="F99" s="2" t="s">
        <v>1717</v>
      </c>
      <c r="G99" t="b">
        <f t="shared" si="2"/>
        <v>1</v>
      </c>
      <c r="H99" t="str">
        <f t="shared" si="3"/>
        <v>Chennai</v>
      </c>
    </row>
    <row r="100" spans="1:8" x14ac:dyDescent="0.4">
      <c r="A100" s="2" t="s">
        <v>1981</v>
      </c>
      <c r="B100" s="2" t="s">
        <v>1982</v>
      </c>
      <c r="C100" s="2" t="s">
        <v>1983</v>
      </c>
      <c r="D100" s="18" t="s">
        <v>3760</v>
      </c>
      <c r="E100" s="2" t="s">
        <v>1739</v>
      </c>
      <c r="F100" s="2" t="s">
        <v>1686</v>
      </c>
      <c r="G100" t="b">
        <f t="shared" si="2"/>
        <v>1</v>
      </c>
      <c r="H100" t="str">
        <f t="shared" si="3"/>
        <v>Chennai</v>
      </c>
    </row>
    <row r="101" spans="1:8" x14ac:dyDescent="0.4">
      <c r="A101" s="2" t="s">
        <v>1984</v>
      </c>
      <c r="B101" s="2" t="s">
        <v>1985</v>
      </c>
      <c r="C101" s="2" t="s">
        <v>1986</v>
      </c>
      <c r="D101" s="18">
        <v>14030109567975</v>
      </c>
      <c r="E101" s="2" t="s">
        <v>1739</v>
      </c>
      <c r="F101" s="2" t="s">
        <v>1717</v>
      </c>
      <c r="G101" t="b">
        <f t="shared" si="2"/>
        <v>1</v>
      </c>
      <c r="H101" t="str">
        <f t="shared" si="3"/>
        <v>Chennai</v>
      </c>
    </row>
    <row r="102" spans="1:8" x14ac:dyDescent="0.4">
      <c r="A102" s="2" t="s">
        <v>1987</v>
      </c>
      <c r="B102" s="2" t="s">
        <v>1988</v>
      </c>
      <c r="C102" s="2" t="s">
        <v>1989</v>
      </c>
      <c r="D102" s="18" t="s">
        <v>3761</v>
      </c>
      <c r="E102" s="2" t="s">
        <v>1690</v>
      </c>
      <c r="F102" s="2" t="s">
        <v>1699</v>
      </c>
      <c r="G102" t="b">
        <f t="shared" si="2"/>
        <v>1</v>
      </c>
      <c r="H102" t="str">
        <f t="shared" si="3"/>
        <v>Hyderabad</v>
      </c>
    </row>
    <row r="103" spans="1:8" x14ac:dyDescent="0.4">
      <c r="A103" s="2" t="s">
        <v>1990</v>
      </c>
      <c r="B103" s="2" t="s">
        <v>1991</v>
      </c>
      <c r="C103" s="2" t="s">
        <v>1992</v>
      </c>
      <c r="D103" s="18" t="s">
        <v>3762</v>
      </c>
      <c r="E103" s="2" t="s">
        <v>1703</v>
      </c>
      <c r="F103" s="2" t="s">
        <v>1691</v>
      </c>
      <c r="G103" t="b">
        <f t="shared" si="2"/>
        <v>1</v>
      </c>
      <c r="H103" t="str">
        <f t="shared" si="3"/>
        <v>Mumbai</v>
      </c>
    </row>
    <row r="104" spans="1:8" x14ac:dyDescent="0.4">
      <c r="A104" s="2" t="s">
        <v>1993</v>
      </c>
      <c r="B104" s="2" t="s">
        <v>1994</v>
      </c>
      <c r="C104" s="2" t="s">
        <v>1995</v>
      </c>
      <c r="D104" s="18">
        <v>306831764</v>
      </c>
      <c r="E104" s="2" t="s">
        <v>1713</v>
      </c>
      <c r="F104" s="2" t="s">
        <v>1699</v>
      </c>
      <c r="G104" t="b">
        <f t="shared" si="2"/>
        <v>1</v>
      </c>
      <c r="H104" t="str">
        <f t="shared" si="3"/>
        <v>Bangalore</v>
      </c>
    </row>
    <row r="105" spans="1:8" x14ac:dyDescent="0.4">
      <c r="A105" s="2" t="s">
        <v>1996</v>
      </c>
      <c r="B105" s="2" t="s">
        <v>1997</v>
      </c>
      <c r="C105" s="2" t="s">
        <v>1998</v>
      </c>
      <c r="D105" s="18">
        <v>1172680808157120</v>
      </c>
      <c r="E105" s="2" t="s">
        <v>1730</v>
      </c>
      <c r="F105" s="2" t="s">
        <v>1686</v>
      </c>
      <c r="G105" t="b">
        <f t="shared" si="2"/>
        <v>1</v>
      </c>
      <c r="H105" t="str">
        <f t="shared" si="3"/>
        <v>Pune</v>
      </c>
    </row>
    <row r="106" spans="1:8" x14ac:dyDescent="0.4">
      <c r="A106" s="2" t="s">
        <v>1999</v>
      </c>
      <c r="B106" s="2" t="s">
        <v>2000</v>
      </c>
      <c r="C106" s="2" t="s">
        <v>2001</v>
      </c>
      <c r="D106" s="18" t="s">
        <v>2002</v>
      </c>
      <c r="E106" s="2" t="s">
        <v>1698</v>
      </c>
      <c r="F106" s="2" t="s">
        <v>1691</v>
      </c>
      <c r="G106" t="b">
        <f t="shared" si="2"/>
        <v>1</v>
      </c>
      <c r="H106" t="str">
        <f t="shared" si="3"/>
        <v>Delhi</v>
      </c>
    </row>
    <row r="107" spans="1:8" x14ac:dyDescent="0.4">
      <c r="A107" s="2" t="s">
        <v>2003</v>
      </c>
      <c r="B107" s="2" t="s">
        <v>2004</v>
      </c>
      <c r="C107" s="2" t="s">
        <v>2005</v>
      </c>
      <c r="D107" s="18">
        <v>3073510458</v>
      </c>
      <c r="E107" s="2" t="s">
        <v>1698</v>
      </c>
      <c r="F107" s="2" t="s">
        <v>1717</v>
      </c>
      <c r="G107" t="b">
        <f t="shared" si="2"/>
        <v>1</v>
      </c>
      <c r="H107" t="str">
        <f t="shared" si="3"/>
        <v>Delhi</v>
      </c>
    </row>
    <row r="108" spans="1:8" x14ac:dyDescent="0.4">
      <c r="A108" s="2" t="s">
        <v>2006</v>
      </c>
      <c r="B108" s="2" t="s">
        <v>2007</v>
      </c>
      <c r="C108" s="2" t="s">
        <v>2008</v>
      </c>
      <c r="D108" s="18">
        <v>7436213009625</v>
      </c>
      <c r="E108" s="2" t="s">
        <v>1703</v>
      </c>
      <c r="F108" s="2" t="s">
        <v>1717</v>
      </c>
      <c r="G108" t="b">
        <f t="shared" si="2"/>
        <v>1</v>
      </c>
      <c r="H108" t="str">
        <f t="shared" si="3"/>
        <v>Mumbai</v>
      </c>
    </row>
    <row r="109" spans="1:8" x14ac:dyDescent="0.4">
      <c r="A109" s="2" t="s">
        <v>2009</v>
      </c>
      <c r="B109" s="2" t="s">
        <v>2010</v>
      </c>
      <c r="C109" s="2" t="s">
        <v>2011</v>
      </c>
      <c r="D109" s="18">
        <v>18576694703</v>
      </c>
      <c r="E109" s="2" t="s">
        <v>1685</v>
      </c>
      <c r="F109" s="2" t="s">
        <v>1717</v>
      </c>
      <c r="G109" t="b">
        <f t="shared" si="2"/>
        <v>1</v>
      </c>
      <c r="H109" t="str">
        <f t="shared" si="3"/>
        <v>Kolkata</v>
      </c>
    </row>
    <row r="110" spans="1:8" x14ac:dyDescent="0.4">
      <c r="A110" s="2" t="s">
        <v>2012</v>
      </c>
      <c r="B110" s="2" t="s">
        <v>2013</v>
      </c>
      <c r="C110" s="2" t="s">
        <v>1720</v>
      </c>
      <c r="D110" s="18">
        <v>8053396274</v>
      </c>
      <c r="E110" s="2" t="s">
        <v>1690</v>
      </c>
      <c r="F110" s="2" t="s">
        <v>1699</v>
      </c>
      <c r="G110" t="b">
        <f t="shared" si="2"/>
        <v>0</v>
      </c>
      <c r="H110" t="str">
        <f t="shared" si="3"/>
        <v>Hyderabad</v>
      </c>
    </row>
    <row r="111" spans="1:8" x14ac:dyDescent="0.4">
      <c r="A111" s="2" t="s">
        <v>2014</v>
      </c>
      <c r="B111" s="2" t="s">
        <v>2015</v>
      </c>
      <c r="C111" s="2" t="s">
        <v>2016</v>
      </c>
      <c r="D111" s="18" t="s">
        <v>3763</v>
      </c>
      <c r="E111" s="2" t="s">
        <v>1698</v>
      </c>
      <c r="F111" s="2" t="s">
        <v>1717</v>
      </c>
      <c r="G111" t="b">
        <f t="shared" si="2"/>
        <v>1</v>
      </c>
      <c r="H111" t="str">
        <f t="shared" si="3"/>
        <v>Delhi</v>
      </c>
    </row>
    <row r="112" spans="1:8" x14ac:dyDescent="0.4">
      <c r="A112" s="2" t="s">
        <v>2017</v>
      </c>
      <c r="B112" s="2" t="s">
        <v>2018</v>
      </c>
      <c r="C112" s="2" t="s">
        <v>2019</v>
      </c>
      <c r="D112" s="18" t="s">
        <v>3764</v>
      </c>
      <c r="E112" s="2" t="s">
        <v>1690</v>
      </c>
      <c r="F112" s="2" t="s">
        <v>1717</v>
      </c>
      <c r="G112" t="b">
        <f t="shared" si="2"/>
        <v>1</v>
      </c>
      <c r="H112" t="str">
        <f t="shared" si="3"/>
        <v>Hyderabad</v>
      </c>
    </row>
    <row r="113" spans="1:8" x14ac:dyDescent="0.4">
      <c r="A113" s="2" t="s">
        <v>2020</v>
      </c>
      <c r="B113" s="2" t="s">
        <v>2021</v>
      </c>
      <c r="C113" s="2" t="s">
        <v>2022</v>
      </c>
      <c r="D113" s="18">
        <v>4004938819</v>
      </c>
      <c r="E113" s="2" t="s">
        <v>1685</v>
      </c>
      <c r="F113" s="2" t="s">
        <v>1717</v>
      </c>
      <c r="G113" t="b">
        <f t="shared" si="2"/>
        <v>1</v>
      </c>
      <c r="H113" t="str">
        <f t="shared" si="3"/>
        <v>Kolkata</v>
      </c>
    </row>
    <row r="114" spans="1:8" x14ac:dyDescent="0.4">
      <c r="A114" s="2" t="s">
        <v>2023</v>
      </c>
      <c r="B114" s="2" t="s">
        <v>2024</v>
      </c>
      <c r="C114" s="2" t="s">
        <v>2025</v>
      </c>
      <c r="D114" s="18">
        <v>1490531520499800</v>
      </c>
      <c r="E114" s="2" t="s">
        <v>1685</v>
      </c>
      <c r="F114" s="2" t="s">
        <v>1699</v>
      </c>
      <c r="G114" t="b">
        <f t="shared" si="2"/>
        <v>1</v>
      </c>
      <c r="H114" t="str">
        <f t="shared" si="3"/>
        <v>Kolkata</v>
      </c>
    </row>
    <row r="115" spans="1:8" x14ac:dyDescent="0.4">
      <c r="A115" s="2" t="s">
        <v>2026</v>
      </c>
      <c r="B115" s="2" t="s">
        <v>2027</v>
      </c>
      <c r="C115" s="2" t="s">
        <v>2028</v>
      </c>
      <c r="D115" s="18">
        <v>97698731379716</v>
      </c>
      <c r="E115" s="2" t="s">
        <v>1698</v>
      </c>
      <c r="F115" s="2" t="s">
        <v>1686</v>
      </c>
      <c r="G115" t="b">
        <f t="shared" si="2"/>
        <v>1</v>
      </c>
      <c r="H115" t="str">
        <f t="shared" si="3"/>
        <v>Delhi</v>
      </c>
    </row>
    <row r="116" spans="1:8" x14ac:dyDescent="0.4">
      <c r="A116" s="2" t="s">
        <v>2029</v>
      </c>
      <c r="B116" s="2" t="s">
        <v>2030</v>
      </c>
      <c r="C116" s="2" t="s">
        <v>2031</v>
      </c>
      <c r="D116" s="18" t="s">
        <v>3765</v>
      </c>
      <c r="E116" s="2" t="s">
        <v>1739</v>
      </c>
      <c r="F116" s="2" t="s">
        <v>1691</v>
      </c>
      <c r="G116" t="b">
        <f t="shared" si="2"/>
        <v>1</v>
      </c>
      <c r="H116" t="str">
        <f t="shared" si="3"/>
        <v>Chennai</v>
      </c>
    </row>
    <row r="117" spans="1:8" x14ac:dyDescent="0.4">
      <c r="A117" s="2" t="s">
        <v>2032</v>
      </c>
      <c r="B117" s="2" t="s">
        <v>2033</v>
      </c>
      <c r="C117" s="2" t="s">
        <v>2034</v>
      </c>
      <c r="D117" s="18">
        <v>14332562389</v>
      </c>
      <c r="E117" s="2" t="s">
        <v>1713</v>
      </c>
      <c r="F117" s="2" t="s">
        <v>1717</v>
      </c>
      <c r="G117" t="b">
        <f t="shared" si="2"/>
        <v>1</v>
      </c>
      <c r="H117" t="str">
        <f t="shared" si="3"/>
        <v>Bangalore</v>
      </c>
    </row>
    <row r="118" spans="1:8" x14ac:dyDescent="0.4">
      <c r="A118" s="2" t="s">
        <v>2035</v>
      </c>
      <c r="B118" s="2" t="s">
        <v>2036</v>
      </c>
      <c r="C118" s="2" t="s">
        <v>2037</v>
      </c>
      <c r="D118" s="18">
        <v>14991970142620</v>
      </c>
      <c r="E118" s="2" t="s">
        <v>1703</v>
      </c>
      <c r="F118" s="2" t="s">
        <v>1699</v>
      </c>
      <c r="G118" t="b">
        <f t="shared" si="2"/>
        <v>1</v>
      </c>
      <c r="H118" t="str">
        <f t="shared" si="3"/>
        <v>Mumbai</v>
      </c>
    </row>
    <row r="119" spans="1:8" x14ac:dyDescent="0.4">
      <c r="A119" s="2" t="s">
        <v>2038</v>
      </c>
      <c r="B119" s="2" t="s">
        <v>2039</v>
      </c>
      <c r="C119" s="2" t="s">
        <v>2040</v>
      </c>
      <c r="D119" s="18">
        <v>7087821160</v>
      </c>
      <c r="E119" s="2" t="s">
        <v>1685</v>
      </c>
      <c r="F119" s="2" t="s">
        <v>1717</v>
      </c>
      <c r="G119" t="b">
        <f t="shared" si="2"/>
        <v>1</v>
      </c>
      <c r="H119" t="str">
        <f t="shared" si="3"/>
        <v>Kolkata</v>
      </c>
    </row>
    <row r="120" spans="1:8" x14ac:dyDescent="0.4">
      <c r="A120" s="2" t="s">
        <v>2041</v>
      </c>
      <c r="B120" s="2" t="s">
        <v>2042</v>
      </c>
      <c r="C120" s="2" t="s">
        <v>2043</v>
      </c>
      <c r="D120" s="18" t="s">
        <v>3766</v>
      </c>
      <c r="E120" s="2" t="s">
        <v>1690</v>
      </c>
      <c r="F120" s="2" t="s">
        <v>1691</v>
      </c>
      <c r="G120" t="b">
        <f t="shared" si="2"/>
        <v>1</v>
      </c>
      <c r="H120" t="str">
        <f t="shared" si="3"/>
        <v>Hyderabad</v>
      </c>
    </row>
    <row r="121" spans="1:8" x14ac:dyDescent="0.4">
      <c r="A121" s="2" t="s">
        <v>2044</v>
      </c>
      <c r="B121" s="2" t="s">
        <v>2045</v>
      </c>
      <c r="C121" s="2" t="s">
        <v>2046</v>
      </c>
      <c r="D121" s="18">
        <v>18972117088948</v>
      </c>
      <c r="E121" s="2" t="s">
        <v>1703</v>
      </c>
      <c r="F121" s="2" t="s">
        <v>1686</v>
      </c>
      <c r="G121" t="b">
        <f t="shared" si="2"/>
        <v>1</v>
      </c>
      <c r="H121" t="str">
        <f t="shared" si="3"/>
        <v>Mumbai</v>
      </c>
    </row>
    <row r="122" spans="1:8" x14ac:dyDescent="0.4">
      <c r="A122" s="2" t="s">
        <v>2047</v>
      </c>
      <c r="B122" s="2" t="s">
        <v>2048</v>
      </c>
      <c r="C122" s="2" t="s">
        <v>2049</v>
      </c>
      <c r="D122" s="18" t="s">
        <v>2050</v>
      </c>
      <c r="E122" s="2" t="s">
        <v>1739</v>
      </c>
      <c r="F122" s="2" t="s">
        <v>1686</v>
      </c>
      <c r="G122" t="b">
        <f t="shared" si="2"/>
        <v>1</v>
      </c>
      <c r="H122" t="str">
        <f t="shared" si="3"/>
        <v>Chennai</v>
      </c>
    </row>
    <row r="123" spans="1:8" x14ac:dyDescent="0.4">
      <c r="A123" s="2" t="s">
        <v>2051</v>
      </c>
      <c r="B123" s="2" t="s">
        <v>2052</v>
      </c>
      <c r="C123" s="2" t="s">
        <v>2053</v>
      </c>
      <c r="D123" s="18" t="s">
        <v>3767</v>
      </c>
      <c r="E123" s="2" t="s">
        <v>1685</v>
      </c>
      <c r="F123" s="2" t="s">
        <v>1717</v>
      </c>
      <c r="G123" t="b">
        <f t="shared" si="2"/>
        <v>1</v>
      </c>
      <c r="H123" t="str">
        <f t="shared" si="3"/>
        <v>Kolkata</v>
      </c>
    </row>
    <row r="124" spans="1:8" x14ac:dyDescent="0.4">
      <c r="A124" s="2" t="s">
        <v>2054</v>
      </c>
      <c r="B124" s="2" t="s">
        <v>2055</v>
      </c>
      <c r="C124" s="2" t="s">
        <v>2056</v>
      </c>
      <c r="D124" s="18">
        <v>8067571236914</v>
      </c>
      <c r="E124" s="2" t="s">
        <v>1739</v>
      </c>
      <c r="F124" s="2" t="s">
        <v>1691</v>
      </c>
      <c r="G124" t="b">
        <f t="shared" si="2"/>
        <v>1</v>
      </c>
      <c r="H124" t="str">
        <f t="shared" si="3"/>
        <v>Chennai</v>
      </c>
    </row>
    <row r="125" spans="1:8" x14ac:dyDescent="0.4">
      <c r="A125" s="2" t="s">
        <v>2057</v>
      </c>
      <c r="B125" s="2" t="s">
        <v>2058</v>
      </c>
      <c r="C125" s="2" t="s">
        <v>2059</v>
      </c>
      <c r="D125" s="18">
        <v>16112879429688</v>
      </c>
      <c r="E125" s="2" t="s">
        <v>1730</v>
      </c>
      <c r="F125" s="2" t="s">
        <v>1717</v>
      </c>
      <c r="G125" t="b">
        <f t="shared" si="2"/>
        <v>1</v>
      </c>
      <c r="H125" t="str">
        <f t="shared" si="3"/>
        <v>Pune</v>
      </c>
    </row>
    <row r="126" spans="1:8" x14ac:dyDescent="0.4">
      <c r="A126" s="2" t="s">
        <v>2060</v>
      </c>
      <c r="B126" s="2" t="s">
        <v>2061</v>
      </c>
      <c r="C126" s="2" t="s">
        <v>2062</v>
      </c>
      <c r="D126" s="18" t="s">
        <v>3768</v>
      </c>
      <c r="E126" s="2" t="s">
        <v>1703</v>
      </c>
      <c r="F126" s="2" t="s">
        <v>1686</v>
      </c>
      <c r="G126" t="b">
        <f t="shared" si="2"/>
        <v>1</v>
      </c>
      <c r="H126" t="str">
        <f t="shared" si="3"/>
        <v>Mumbai</v>
      </c>
    </row>
    <row r="127" spans="1:8" x14ac:dyDescent="0.4">
      <c r="A127" s="2" t="s">
        <v>2063</v>
      </c>
      <c r="B127" s="2" t="s">
        <v>2064</v>
      </c>
      <c r="C127" s="2" t="s">
        <v>2065</v>
      </c>
      <c r="D127" s="18">
        <v>11419615607832</v>
      </c>
      <c r="E127" s="2" t="s">
        <v>1685</v>
      </c>
      <c r="F127" s="2" t="s">
        <v>1699</v>
      </c>
      <c r="G127" t="b">
        <f t="shared" si="2"/>
        <v>1</v>
      </c>
      <c r="H127" t="str">
        <f t="shared" si="3"/>
        <v>Kolkata</v>
      </c>
    </row>
    <row r="128" spans="1:8" x14ac:dyDescent="0.4">
      <c r="A128" s="2" t="s">
        <v>2066</v>
      </c>
      <c r="B128" s="2" t="s">
        <v>2067</v>
      </c>
      <c r="C128" s="2" t="s">
        <v>2068</v>
      </c>
      <c r="D128" s="18">
        <v>48835651796240</v>
      </c>
      <c r="E128" s="2" t="s">
        <v>1690</v>
      </c>
      <c r="F128" s="2" t="s">
        <v>1699</v>
      </c>
      <c r="G128" t="b">
        <f t="shared" si="2"/>
        <v>1</v>
      </c>
      <c r="H128" t="str">
        <f t="shared" si="3"/>
        <v>Hyderabad</v>
      </c>
    </row>
    <row r="129" spans="1:8" x14ac:dyDescent="0.4">
      <c r="A129" s="2" t="s">
        <v>2069</v>
      </c>
      <c r="B129" s="2" t="s">
        <v>2070</v>
      </c>
      <c r="C129" s="2" t="s">
        <v>2071</v>
      </c>
      <c r="D129" s="18">
        <v>16496683496047</v>
      </c>
      <c r="E129" s="2" t="s">
        <v>1690</v>
      </c>
      <c r="F129" s="2" t="s">
        <v>1699</v>
      </c>
      <c r="G129" t="b">
        <f t="shared" si="2"/>
        <v>1</v>
      </c>
      <c r="H129" t="str">
        <f t="shared" si="3"/>
        <v>Hyderabad</v>
      </c>
    </row>
    <row r="130" spans="1:8" x14ac:dyDescent="0.4">
      <c r="A130" s="2" t="s">
        <v>2072</v>
      </c>
      <c r="B130" s="2" t="s">
        <v>2073</v>
      </c>
      <c r="C130" s="2" t="s">
        <v>2074</v>
      </c>
      <c r="D130" s="18">
        <v>421702851622593</v>
      </c>
      <c r="E130" s="2" t="s">
        <v>1739</v>
      </c>
      <c r="F130" s="2" t="s">
        <v>1691</v>
      </c>
      <c r="G130" t="b">
        <f t="shared" ref="G130:G193" si="4">ISNUMBER(SEARCH("@",C130))</f>
        <v>1</v>
      </c>
      <c r="H130" t="str">
        <f t="shared" si="3"/>
        <v>Chennai</v>
      </c>
    </row>
    <row r="131" spans="1:8" x14ac:dyDescent="0.4">
      <c r="A131" s="2" t="s">
        <v>2075</v>
      </c>
      <c r="B131" s="2" t="s">
        <v>2076</v>
      </c>
      <c r="C131" s="2" t="s">
        <v>2077</v>
      </c>
      <c r="D131" s="18">
        <v>164882089348688</v>
      </c>
      <c r="E131" s="2" t="s">
        <v>1730</v>
      </c>
      <c r="F131" s="2" t="s">
        <v>1691</v>
      </c>
      <c r="G131" t="b">
        <f t="shared" si="4"/>
        <v>1</v>
      </c>
      <c r="H131" t="str">
        <f t="shared" ref="H131:H194" si="5">PROPER(E131)</f>
        <v>Pune</v>
      </c>
    </row>
    <row r="132" spans="1:8" x14ac:dyDescent="0.4">
      <c r="A132" s="2" t="s">
        <v>2078</v>
      </c>
      <c r="B132" s="2" t="s">
        <v>2079</v>
      </c>
      <c r="C132" s="2" t="s">
        <v>2080</v>
      </c>
      <c r="D132" s="18">
        <v>9062467287</v>
      </c>
      <c r="E132" s="2" t="s">
        <v>1730</v>
      </c>
      <c r="F132" s="2" t="s">
        <v>1686</v>
      </c>
      <c r="G132" t="b">
        <f t="shared" si="4"/>
        <v>1</v>
      </c>
      <c r="H132" t="str">
        <f t="shared" si="5"/>
        <v>Pune</v>
      </c>
    </row>
    <row r="133" spans="1:8" x14ac:dyDescent="0.4">
      <c r="A133" s="2" t="s">
        <v>2081</v>
      </c>
      <c r="B133" s="2" t="s">
        <v>2082</v>
      </c>
      <c r="C133" s="2" t="s">
        <v>2083</v>
      </c>
      <c r="D133" s="18">
        <v>19160911413193</v>
      </c>
      <c r="E133" s="2" t="s">
        <v>1698</v>
      </c>
      <c r="F133" s="2" t="s">
        <v>1691</v>
      </c>
      <c r="G133" t="b">
        <f t="shared" si="4"/>
        <v>1</v>
      </c>
      <c r="H133" t="str">
        <f t="shared" si="5"/>
        <v>Delhi</v>
      </c>
    </row>
    <row r="134" spans="1:8" x14ac:dyDescent="0.4">
      <c r="A134" s="2" t="s">
        <v>2084</v>
      </c>
      <c r="B134" s="2" t="s">
        <v>2085</v>
      </c>
      <c r="C134" s="2" t="s">
        <v>2086</v>
      </c>
      <c r="D134" s="18" t="s">
        <v>3769</v>
      </c>
      <c r="E134" s="2" t="s">
        <v>1690</v>
      </c>
      <c r="F134" s="2" t="s">
        <v>1686</v>
      </c>
      <c r="G134" t="b">
        <f t="shared" si="4"/>
        <v>1</v>
      </c>
      <c r="H134" t="str">
        <f t="shared" si="5"/>
        <v>Hyderabad</v>
      </c>
    </row>
    <row r="135" spans="1:8" x14ac:dyDescent="0.4">
      <c r="A135" s="2" t="s">
        <v>2087</v>
      </c>
      <c r="B135" s="2" t="s">
        <v>2088</v>
      </c>
      <c r="C135" s="2" t="s">
        <v>2089</v>
      </c>
      <c r="D135" s="18" t="s">
        <v>2090</v>
      </c>
      <c r="E135" s="2" t="s">
        <v>1703</v>
      </c>
      <c r="F135" s="2" t="s">
        <v>1686</v>
      </c>
      <c r="G135" t="b">
        <f t="shared" si="4"/>
        <v>1</v>
      </c>
      <c r="H135" t="str">
        <f t="shared" si="5"/>
        <v>Mumbai</v>
      </c>
    </row>
    <row r="136" spans="1:8" x14ac:dyDescent="0.4">
      <c r="A136" s="2" t="s">
        <v>2091</v>
      </c>
      <c r="B136" s="2" t="s">
        <v>2092</v>
      </c>
      <c r="C136" s="2" t="s">
        <v>1720</v>
      </c>
      <c r="D136" s="18">
        <v>4724191650344</v>
      </c>
      <c r="E136" s="2" t="s">
        <v>1730</v>
      </c>
      <c r="F136" s="2" t="s">
        <v>1717</v>
      </c>
      <c r="G136" t="b">
        <f t="shared" si="4"/>
        <v>0</v>
      </c>
      <c r="H136" t="str">
        <f t="shared" si="5"/>
        <v>Pune</v>
      </c>
    </row>
    <row r="137" spans="1:8" x14ac:dyDescent="0.4">
      <c r="A137" s="2" t="s">
        <v>2093</v>
      </c>
      <c r="B137" s="2" t="s">
        <v>2094</v>
      </c>
      <c r="C137" s="2" t="s">
        <v>2095</v>
      </c>
      <c r="D137" s="18" t="s">
        <v>2096</v>
      </c>
      <c r="E137" s="2" t="s">
        <v>1739</v>
      </c>
      <c r="F137" s="2" t="s">
        <v>1699</v>
      </c>
      <c r="G137" t="b">
        <f t="shared" si="4"/>
        <v>1</v>
      </c>
      <c r="H137" t="str">
        <f t="shared" si="5"/>
        <v>Chennai</v>
      </c>
    </row>
    <row r="138" spans="1:8" x14ac:dyDescent="0.4">
      <c r="A138" s="2" t="s">
        <v>2097</v>
      </c>
      <c r="B138" s="2" t="s">
        <v>2098</v>
      </c>
      <c r="C138" s="2" t="s">
        <v>2099</v>
      </c>
      <c r="D138" s="18">
        <v>18980880678214</v>
      </c>
      <c r="E138" s="2" t="s">
        <v>1703</v>
      </c>
      <c r="F138" s="2" t="s">
        <v>1699</v>
      </c>
      <c r="G138" t="b">
        <f t="shared" si="4"/>
        <v>1</v>
      </c>
      <c r="H138" t="str">
        <f t="shared" si="5"/>
        <v>Mumbai</v>
      </c>
    </row>
    <row r="139" spans="1:8" x14ac:dyDescent="0.4">
      <c r="A139" s="2" t="s">
        <v>2100</v>
      </c>
      <c r="B139" s="2" t="s">
        <v>2101</v>
      </c>
      <c r="C139" s="2" t="s">
        <v>2102</v>
      </c>
      <c r="D139" s="18">
        <v>7468135926</v>
      </c>
      <c r="E139" s="2" t="s">
        <v>1730</v>
      </c>
      <c r="F139" s="2" t="s">
        <v>1686</v>
      </c>
      <c r="G139" t="b">
        <f t="shared" si="4"/>
        <v>1</v>
      </c>
      <c r="H139" t="str">
        <f t="shared" si="5"/>
        <v>Pune</v>
      </c>
    </row>
    <row r="140" spans="1:8" x14ac:dyDescent="0.4">
      <c r="A140" s="2" t="s">
        <v>2103</v>
      </c>
      <c r="B140" s="2" t="s">
        <v>2104</v>
      </c>
      <c r="C140" s="2" t="s">
        <v>2105</v>
      </c>
      <c r="D140" s="18">
        <v>164869893969874</v>
      </c>
      <c r="E140" s="2" t="s">
        <v>1690</v>
      </c>
      <c r="F140" s="2" t="s">
        <v>1691</v>
      </c>
      <c r="G140" t="b">
        <f t="shared" si="4"/>
        <v>1</v>
      </c>
      <c r="H140" t="str">
        <f t="shared" si="5"/>
        <v>Hyderabad</v>
      </c>
    </row>
    <row r="141" spans="1:8" x14ac:dyDescent="0.4">
      <c r="A141" s="2" t="s">
        <v>2106</v>
      </c>
      <c r="B141" s="2" t="s">
        <v>2107</v>
      </c>
      <c r="C141" s="2" t="s">
        <v>1720</v>
      </c>
      <c r="D141" s="18">
        <v>694155945011929</v>
      </c>
      <c r="E141" s="2" t="s">
        <v>1685</v>
      </c>
      <c r="F141" s="2" t="s">
        <v>1686</v>
      </c>
      <c r="G141" t="b">
        <f t="shared" si="4"/>
        <v>0</v>
      </c>
      <c r="H141" t="str">
        <f t="shared" si="5"/>
        <v>Kolkata</v>
      </c>
    </row>
    <row r="142" spans="1:8" x14ac:dyDescent="0.4">
      <c r="A142" s="2" t="s">
        <v>2108</v>
      </c>
      <c r="B142" s="2" t="s">
        <v>2109</v>
      </c>
      <c r="C142" s="2" t="s">
        <v>2110</v>
      </c>
      <c r="D142" s="18">
        <v>1207536051171600</v>
      </c>
      <c r="E142" s="2" t="s">
        <v>1730</v>
      </c>
      <c r="F142" s="2" t="s">
        <v>1699</v>
      </c>
      <c r="G142" t="b">
        <f t="shared" si="4"/>
        <v>1</v>
      </c>
      <c r="H142" t="str">
        <f t="shared" si="5"/>
        <v>Pune</v>
      </c>
    </row>
    <row r="143" spans="1:8" x14ac:dyDescent="0.4">
      <c r="A143" s="2" t="s">
        <v>2111</v>
      </c>
      <c r="B143" s="2" t="s">
        <v>2112</v>
      </c>
      <c r="C143" s="2" t="s">
        <v>2113</v>
      </c>
      <c r="D143" s="18">
        <v>18863653621894</v>
      </c>
      <c r="E143" s="2" t="s">
        <v>1690</v>
      </c>
      <c r="F143" s="2" t="s">
        <v>1717</v>
      </c>
      <c r="G143" t="b">
        <f t="shared" si="4"/>
        <v>1</v>
      </c>
      <c r="H143" t="str">
        <f t="shared" si="5"/>
        <v>Hyderabad</v>
      </c>
    </row>
    <row r="144" spans="1:8" x14ac:dyDescent="0.4">
      <c r="A144" s="2" t="s">
        <v>2114</v>
      </c>
      <c r="B144" s="2" t="s">
        <v>2115</v>
      </c>
      <c r="C144" s="2" t="s">
        <v>2116</v>
      </c>
      <c r="D144" s="18">
        <v>590670009942489</v>
      </c>
      <c r="E144" s="2" t="s">
        <v>1730</v>
      </c>
      <c r="F144" s="2" t="s">
        <v>1699</v>
      </c>
      <c r="G144" t="b">
        <f t="shared" si="4"/>
        <v>1</v>
      </c>
      <c r="H144" t="str">
        <f t="shared" si="5"/>
        <v>Pune</v>
      </c>
    </row>
    <row r="145" spans="1:8" x14ac:dyDescent="0.4">
      <c r="A145" s="2" t="s">
        <v>2117</v>
      </c>
      <c r="B145" s="2" t="s">
        <v>2118</v>
      </c>
      <c r="C145" s="2" t="s">
        <v>2119</v>
      </c>
      <c r="D145" s="18">
        <v>2046648966760</v>
      </c>
      <c r="E145" s="2" t="s">
        <v>1685</v>
      </c>
      <c r="F145" s="2" t="s">
        <v>1686</v>
      </c>
      <c r="G145" t="b">
        <f t="shared" si="4"/>
        <v>1</v>
      </c>
      <c r="H145" t="str">
        <f t="shared" si="5"/>
        <v>Kolkata</v>
      </c>
    </row>
    <row r="146" spans="1:8" x14ac:dyDescent="0.4">
      <c r="A146" s="2" t="s">
        <v>2120</v>
      </c>
      <c r="B146" s="2" t="s">
        <v>2121</v>
      </c>
      <c r="C146" s="2" t="s">
        <v>2122</v>
      </c>
      <c r="D146" s="18">
        <v>642045657758097</v>
      </c>
      <c r="E146" s="2" t="s">
        <v>1698</v>
      </c>
      <c r="F146" s="2" t="s">
        <v>1686</v>
      </c>
      <c r="G146" t="b">
        <f t="shared" si="4"/>
        <v>1</v>
      </c>
      <c r="H146" t="str">
        <f t="shared" si="5"/>
        <v>Delhi</v>
      </c>
    </row>
    <row r="147" spans="1:8" x14ac:dyDescent="0.4">
      <c r="A147" s="2" t="s">
        <v>2123</v>
      </c>
      <c r="B147" s="2" t="s">
        <v>2124</v>
      </c>
      <c r="C147" s="2" t="s">
        <v>2125</v>
      </c>
      <c r="D147" s="18">
        <v>53389062354662</v>
      </c>
      <c r="E147" s="2" t="s">
        <v>1739</v>
      </c>
      <c r="F147" s="2" t="s">
        <v>1699</v>
      </c>
      <c r="G147" t="b">
        <f t="shared" si="4"/>
        <v>1</v>
      </c>
      <c r="H147" t="str">
        <f t="shared" si="5"/>
        <v>Chennai</v>
      </c>
    </row>
    <row r="148" spans="1:8" x14ac:dyDescent="0.4">
      <c r="A148" s="2" t="s">
        <v>2126</v>
      </c>
      <c r="B148" s="2" t="s">
        <v>2127</v>
      </c>
      <c r="C148" s="2" t="s">
        <v>1720</v>
      </c>
      <c r="D148" s="18">
        <v>126540165995300</v>
      </c>
      <c r="E148" s="2" t="s">
        <v>1730</v>
      </c>
      <c r="F148" s="2" t="s">
        <v>1699</v>
      </c>
      <c r="G148" t="b">
        <f t="shared" si="4"/>
        <v>0</v>
      </c>
      <c r="H148" t="str">
        <f t="shared" si="5"/>
        <v>Pune</v>
      </c>
    </row>
    <row r="149" spans="1:8" x14ac:dyDescent="0.4">
      <c r="A149" s="2" t="s">
        <v>2128</v>
      </c>
      <c r="B149" s="2" t="s">
        <v>2129</v>
      </c>
      <c r="C149" s="2" t="s">
        <v>2130</v>
      </c>
      <c r="D149" s="18">
        <v>16221224276774</v>
      </c>
      <c r="E149" s="2" t="s">
        <v>1698</v>
      </c>
      <c r="F149" s="2" t="s">
        <v>1691</v>
      </c>
      <c r="G149" t="b">
        <f t="shared" si="4"/>
        <v>1</v>
      </c>
      <c r="H149" t="str">
        <f t="shared" si="5"/>
        <v>Delhi</v>
      </c>
    </row>
    <row r="150" spans="1:8" x14ac:dyDescent="0.4">
      <c r="A150" s="2" t="s">
        <v>2131</v>
      </c>
      <c r="B150" s="2" t="s">
        <v>2132</v>
      </c>
      <c r="C150" s="2" t="s">
        <v>2133</v>
      </c>
      <c r="D150" s="18" t="s">
        <v>3770</v>
      </c>
      <c r="E150" s="2" t="s">
        <v>1739</v>
      </c>
      <c r="F150" s="2" t="s">
        <v>1717</v>
      </c>
      <c r="G150" t="b">
        <f t="shared" si="4"/>
        <v>1</v>
      </c>
      <c r="H150" t="str">
        <f t="shared" si="5"/>
        <v>Chennai</v>
      </c>
    </row>
    <row r="151" spans="1:8" x14ac:dyDescent="0.4">
      <c r="A151" s="2" t="s">
        <v>2134</v>
      </c>
      <c r="B151" s="2" t="s">
        <v>2135</v>
      </c>
      <c r="C151" s="2" t="s">
        <v>2136</v>
      </c>
      <c r="D151" s="18">
        <v>8860080179867</v>
      </c>
      <c r="E151" s="2" t="s">
        <v>1685</v>
      </c>
      <c r="F151" s="2" t="s">
        <v>1699</v>
      </c>
      <c r="G151" t="b">
        <f t="shared" si="4"/>
        <v>1</v>
      </c>
      <c r="H151" t="str">
        <f t="shared" si="5"/>
        <v>Kolkata</v>
      </c>
    </row>
    <row r="152" spans="1:8" x14ac:dyDescent="0.4">
      <c r="A152" s="2" t="s">
        <v>2137</v>
      </c>
      <c r="B152" s="2" t="s">
        <v>2138</v>
      </c>
      <c r="C152" s="2" t="s">
        <v>2139</v>
      </c>
      <c r="D152" s="18">
        <v>17823129957047</v>
      </c>
      <c r="E152" s="2" t="s">
        <v>1698</v>
      </c>
      <c r="F152" s="2" t="s">
        <v>1717</v>
      </c>
      <c r="G152" t="b">
        <f t="shared" si="4"/>
        <v>1</v>
      </c>
      <c r="H152" t="str">
        <f t="shared" si="5"/>
        <v>Delhi</v>
      </c>
    </row>
    <row r="153" spans="1:8" x14ac:dyDescent="0.4">
      <c r="A153" s="2" t="s">
        <v>2140</v>
      </c>
      <c r="B153" s="2" t="s">
        <v>2141</v>
      </c>
      <c r="C153" s="2" t="s">
        <v>2142</v>
      </c>
      <c r="D153" s="18" t="s">
        <v>3771</v>
      </c>
      <c r="E153" s="2" t="s">
        <v>1703</v>
      </c>
      <c r="F153" s="2" t="s">
        <v>1717</v>
      </c>
      <c r="G153" t="b">
        <f t="shared" si="4"/>
        <v>1</v>
      </c>
      <c r="H153" t="str">
        <f t="shared" si="5"/>
        <v>Mumbai</v>
      </c>
    </row>
    <row r="154" spans="1:8" x14ac:dyDescent="0.4">
      <c r="A154" s="2" t="s">
        <v>2143</v>
      </c>
      <c r="B154" s="2" t="s">
        <v>2144</v>
      </c>
      <c r="C154" s="2" t="s">
        <v>1720</v>
      </c>
      <c r="D154" s="18">
        <v>437536596807852</v>
      </c>
      <c r="E154" s="2" t="s">
        <v>1690</v>
      </c>
      <c r="F154" s="2" t="s">
        <v>1691</v>
      </c>
      <c r="G154" t="b">
        <f t="shared" si="4"/>
        <v>0</v>
      </c>
      <c r="H154" t="str">
        <f t="shared" si="5"/>
        <v>Hyderabad</v>
      </c>
    </row>
    <row r="155" spans="1:8" x14ac:dyDescent="0.4">
      <c r="A155" s="2" t="s">
        <v>2145</v>
      </c>
      <c r="B155" s="2" t="s">
        <v>2146</v>
      </c>
      <c r="C155" s="2" t="s">
        <v>2147</v>
      </c>
      <c r="D155" s="18" t="s">
        <v>3772</v>
      </c>
      <c r="E155" s="2" t="s">
        <v>1739</v>
      </c>
      <c r="F155" s="2" t="s">
        <v>1686</v>
      </c>
      <c r="G155" t="b">
        <f t="shared" si="4"/>
        <v>1</v>
      </c>
      <c r="H155" t="str">
        <f t="shared" si="5"/>
        <v>Chennai</v>
      </c>
    </row>
    <row r="156" spans="1:8" x14ac:dyDescent="0.4">
      <c r="A156" s="2" t="s">
        <v>2148</v>
      </c>
      <c r="B156" s="2" t="s">
        <v>2149</v>
      </c>
      <c r="C156" s="2" t="s">
        <v>2150</v>
      </c>
      <c r="D156" s="18" t="s">
        <v>2151</v>
      </c>
      <c r="E156" s="2" t="s">
        <v>1730</v>
      </c>
      <c r="F156" s="2" t="s">
        <v>1717</v>
      </c>
      <c r="G156" t="b">
        <f t="shared" si="4"/>
        <v>1</v>
      </c>
      <c r="H156" t="str">
        <f t="shared" si="5"/>
        <v>Pune</v>
      </c>
    </row>
    <row r="157" spans="1:8" x14ac:dyDescent="0.4">
      <c r="A157" s="2" t="s">
        <v>2152</v>
      </c>
      <c r="B157" s="2" t="s">
        <v>2153</v>
      </c>
      <c r="C157" s="2" t="s">
        <v>2154</v>
      </c>
      <c r="D157" s="18">
        <v>1232748979</v>
      </c>
      <c r="E157" s="2" t="s">
        <v>1730</v>
      </c>
      <c r="F157" s="2" t="s">
        <v>1717</v>
      </c>
      <c r="G157" t="b">
        <f t="shared" si="4"/>
        <v>1</v>
      </c>
      <c r="H157" t="str">
        <f t="shared" si="5"/>
        <v>Pune</v>
      </c>
    </row>
    <row r="158" spans="1:8" x14ac:dyDescent="0.4">
      <c r="A158" s="2" t="s">
        <v>2155</v>
      </c>
      <c r="B158" s="2" t="s">
        <v>2156</v>
      </c>
      <c r="C158" s="2" t="s">
        <v>2157</v>
      </c>
      <c r="D158" s="18">
        <v>117763342720388</v>
      </c>
      <c r="E158" s="2" t="s">
        <v>1713</v>
      </c>
      <c r="F158" s="2" t="s">
        <v>1717</v>
      </c>
      <c r="G158" t="b">
        <f t="shared" si="4"/>
        <v>1</v>
      </c>
      <c r="H158" t="str">
        <f t="shared" si="5"/>
        <v>Bangalore</v>
      </c>
    </row>
    <row r="159" spans="1:8" x14ac:dyDescent="0.4">
      <c r="A159" s="2" t="s">
        <v>2158</v>
      </c>
      <c r="B159" s="2" t="s">
        <v>2159</v>
      </c>
      <c r="C159" s="2" t="s">
        <v>2160</v>
      </c>
      <c r="D159" s="18" t="s">
        <v>3773</v>
      </c>
      <c r="E159" s="2" t="s">
        <v>1730</v>
      </c>
      <c r="F159" s="2" t="s">
        <v>1717</v>
      </c>
      <c r="G159" t="b">
        <f t="shared" si="4"/>
        <v>1</v>
      </c>
      <c r="H159" t="str">
        <f t="shared" si="5"/>
        <v>Pune</v>
      </c>
    </row>
    <row r="160" spans="1:8" x14ac:dyDescent="0.4">
      <c r="A160" s="2" t="s">
        <v>2161</v>
      </c>
      <c r="B160" s="2" t="s">
        <v>2162</v>
      </c>
      <c r="C160" s="2" t="s">
        <v>2163</v>
      </c>
      <c r="D160" s="18">
        <v>13069358824935</v>
      </c>
      <c r="E160" s="2" t="s">
        <v>1690</v>
      </c>
      <c r="F160" s="2" t="s">
        <v>1686</v>
      </c>
      <c r="G160" t="b">
        <f t="shared" si="4"/>
        <v>1</v>
      </c>
      <c r="H160" t="str">
        <f t="shared" si="5"/>
        <v>Hyderabad</v>
      </c>
    </row>
    <row r="161" spans="1:8" x14ac:dyDescent="0.4">
      <c r="A161" s="2" t="s">
        <v>2164</v>
      </c>
      <c r="B161" s="2" t="s">
        <v>2165</v>
      </c>
      <c r="C161" s="2" t="s">
        <v>2166</v>
      </c>
      <c r="D161" s="18">
        <v>4001816778</v>
      </c>
      <c r="E161" s="2" t="s">
        <v>1690</v>
      </c>
      <c r="F161" s="2" t="s">
        <v>1691</v>
      </c>
      <c r="G161" t="b">
        <f t="shared" si="4"/>
        <v>1</v>
      </c>
      <c r="H161" t="str">
        <f t="shared" si="5"/>
        <v>Hyderabad</v>
      </c>
    </row>
    <row r="162" spans="1:8" x14ac:dyDescent="0.4">
      <c r="A162" s="2" t="s">
        <v>2167</v>
      </c>
      <c r="B162" s="2" t="s">
        <v>2168</v>
      </c>
      <c r="C162" s="2" t="s">
        <v>2169</v>
      </c>
      <c r="D162" s="18">
        <v>81652444544608</v>
      </c>
      <c r="E162" s="2" t="s">
        <v>1730</v>
      </c>
      <c r="F162" s="2" t="s">
        <v>1717</v>
      </c>
      <c r="G162" t="b">
        <f t="shared" si="4"/>
        <v>1</v>
      </c>
      <c r="H162" t="str">
        <f t="shared" si="5"/>
        <v>Pune</v>
      </c>
    </row>
    <row r="163" spans="1:8" x14ac:dyDescent="0.4">
      <c r="A163" s="2" t="s">
        <v>2170</v>
      </c>
      <c r="B163" s="2" t="s">
        <v>2171</v>
      </c>
      <c r="C163" s="2" t="s">
        <v>2172</v>
      </c>
      <c r="D163" s="18">
        <v>8517993781</v>
      </c>
      <c r="E163" s="2" t="s">
        <v>1739</v>
      </c>
      <c r="F163" s="2" t="s">
        <v>1699</v>
      </c>
      <c r="G163" t="b">
        <f t="shared" si="4"/>
        <v>1</v>
      </c>
      <c r="H163" t="str">
        <f t="shared" si="5"/>
        <v>Chennai</v>
      </c>
    </row>
    <row r="164" spans="1:8" x14ac:dyDescent="0.4">
      <c r="A164" s="2" t="s">
        <v>2173</v>
      </c>
      <c r="B164" s="2" t="s">
        <v>552</v>
      </c>
      <c r="C164" s="2" t="s">
        <v>2174</v>
      </c>
      <c r="D164" s="18" t="s">
        <v>2175</v>
      </c>
      <c r="E164" s="2" t="s">
        <v>1685</v>
      </c>
      <c r="F164" s="2" t="s">
        <v>1686</v>
      </c>
      <c r="G164" t="b">
        <f t="shared" si="4"/>
        <v>1</v>
      </c>
      <c r="H164" t="str">
        <f t="shared" si="5"/>
        <v>Kolkata</v>
      </c>
    </row>
    <row r="165" spans="1:8" x14ac:dyDescent="0.4">
      <c r="A165" s="2" t="s">
        <v>2176</v>
      </c>
      <c r="B165" s="2" t="s">
        <v>2177</v>
      </c>
      <c r="C165" s="2" t="s">
        <v>2178</v>
      </c>
      <c r="D165" s="18">
        <v>16999698829</v>
      </c>
      <c r="E165" s="2" t="s">
        <v>1698</v>
      </c>
      <c r="F165" s="2" t="s">
        <v>1691</v>
      </c>
      <c r="G165" t="b">
        <f t="shared" si="4"/>
        <v>1</v>
      </c>
      <c r="H165" t="str">
        <f t="shared" si="5"/>
        <v>Delhi</v>
      </c>
    </row>
    <row r="166" spans="1:8" x14ac:dyDescent="0.4">
      <c r="A166" s="2" t="s">
        <v>2179</v>
      </c>
      <c r="B166" s="2" t="s">
        <v>2180</v>
      </c>
      <c r="C166" s="2" t="s">
        <v>2181</v>
      </c>
      <c r="D166" s="18" t="s">
        <v>2182</v>
      </c>
      <c r="E166" s="2" t="s">
        <v>1713</v>
      </c>
      <c r="F166" s="2" t="s">
        <v>1699</v>
      </c>
      <c r="G166" t="b">
        <f t="shared" si="4"/>
        <v>1</v>
      </c>
      <c r="H166" t="str">
        <f t="shared" si="5"/>
        <v>Bangalore</v>
      </c>
    </row>
    <row r="167" spans="1:8" x14ac:dyDescent="0.4">
      <c r="A167" s="2" t="s">
        <v>2183</v>
      </c>
      <c r="B167" s="2" t="s">
        <v>2184</v>
      </c>
      <c r="C167" s="2" t="s">
        <v>2185</v>
      </c>
      <c r="D167" s="18">
        <v>6301986424238</v>
      </c>
      <c r="E167" s="2" t="s">
        <v>1690</v>
      </c>
      <c r="F167" s="2" t="s">
        <v>1699</v>
      </c>
      <c r="G167" t="b">
        <f t="shared" si="4"/>
        <v>1</v>
      </c>
      <c r="H167" t="str">
        <f t="shared" si="5"/>
        <v>Hyderabad</v>
      </c>
    </row>
    <row r="168" spans="1:8" x14ac:dyDescent="0.4">
      <c r="A168" s="2" t="s">
        <v>2186</v>
      </c>
      <c r="B168" s="2" t="s">
        <v>2187</v>
      </c>
      <c r="C168" s="2" t="s">
        <v>2188</v>
      </c>
      <c r="D168" s="18">
        <v>139728339121870</v>
      </c>
      <c r="E168" s="2" t="s">
        <v>1713</v>
      </c>
      <c r="F168" s="2" t="s">
        <v>1699</v>
      </c>
      <c r="G168" t="b">
        <f t="shared" si="4"/>
        <v>1</v>
      </c>
      <c r="H168" t="str">
        <f t="shared" si="5"/>
        <v>Bangalore</v>
      </c>
    </row>
    <row r="169" spans="1:8" x14ac:dyDescent="0.4">
      <c r="A169" s="2" t="s">
        <v>2189</v>
      </c>
      <c r="B169" s="2" t="s">
        <v>2190</v>
      </c>
      <c r="C169" s="2" t="s">
        <v>2191</v>
      </c>
      <c r="D169" s="18" t="s">
        <v>3774</v>
      </c>
      <c r="E169" s="2" t="s">
        <v>1713</v>
      </c>
      <c r="F169" s="2" t="s">
        <v>1717</v>
      </c>
      <c r="G169" t="b">
        <f t="shared" si="4"/>
        <v>1</v>
      </c>
      <c r="H169" t="str">
        <f t="shared" si="5"/>
        <v>Bangalore</v>
      </c>
    </row>
    <row r="170" spans="1:8" x14ac:dyDescent="0.4">
      <c r="A170" s="2" t="s">
        <v>2192</v>
      </c>
      <c r="B170" s="2" t="s">
        <v>2193</v>
      </c>
      <c r="C170" s="2" t="s">
        <v>2194</v>
      </c>
      <c r="D170" s="18">
        <v>232001867</v>
      </c>
      <c r="E170" s="2" t="s">
        <v>1690</v>
      </c>
      <c r="F170" s="2" t="s">
        <v>1717</v>
      </c>
      <c r="G170" t="b">
        <f t="shared" si="4"/>
        <v>1</v>
      </c>
      <c r="H170" t="str">
        <f t="shared" si="5"/>
        <v>Hyderabad</v>
      </c>
    </row>
    <row r="171" spans="1:8" x14ac:dyDescent="0.4">
      <c r="A171" s="2" t="s">
        <v>2195</v>
      </c>
      <c r="B171" s="2" t="s">
        <v>2196</v>
      </c>
      <c r="C171" s="2" t="s">
        <v>2197</v>
      </c>
      <c r="D171" s="18" t="s">
        <v>3775</v>
      </c>
      <c r="E171" s="2" t="s">
        <v>1685</v>
      </c>
      <c r="F171" s="2" t="s">
        <v>1699</v>
      </c>
      <c r="G171" t="b">
        <f t="shared" si="4"/>
        <v>1</v>
      </c>
      <c r="H171" t="str">
        <f t="shared" si="5"/>
        <v>Kolkata</v>
      </c>
    </row>
    <row r="172" spans="1:8" x14ac:dyDescent="0.4">
      <c r="A172" s="2" t="s">
        <v>2198</v>
      </c>
      <c r="B172" s="2" t="s">
        <v>2199</v>
      </c>
      <c r="C172" s="2" t="s">
        <v>2200</v>
      </c>
      <c r="D172" s="18" t="s">
        <v>3776</v>
      </c>
      <c r="E172" s="2" t="s">
        <v>1698</v>
      </c>
      <c r="F172" s="2" t="s">
        <v>1691</v>
      </c>
      <c r="G172" t="b">
        <f t="shared" si="4"/>
        <v>1</v>
      </c>
      <c r="H172" t="str">
        <f t="shared" si="5"/>
        <v>Delhi</v>
      </c>
    </row>
    <row r="173" spans="1:8" x14ac:dyDescent="0.4">
      <c r="A173" s="2" t="s">
        <v>2201</v>
      </c>
      <c r="B173" s="2" t="s">
        <v>2202</v>
      </c>
      <c r="C173" s="2" t="s">
        <v>2203</v>
      </c>
      <c r="D173" s="18">
        <v>46823546951003</v>
      </c>
      <c r="E173" s="2" t="s">
        <v>1698</v>
      </c>
      <c r="F173" s="2" t="s">
        <v>1717</v>
      </c>
      <c r="G173" t="b">
        <f t="shared" si="4"/>
        <v>1</v>
      </c>
      <c r="H173" t="str">
        <f t="shared" si="5"/>
        <v>Delhi</v>
      </c>
    </row>
    <row r="174" spans="1:8" x14ac:dyDescent="0.4">
      <c r="A174" s="2" t="s">
        <v>2204</v>
      </c>
      <c r="B174" s="2" t="s">
        <v>2205</v>
      </c>
      <c r="C174" s="2" t="s">
        <v>2206</v>
      </c>
      <c r="D174" s="18">
        <v>107620545967150</v>
      </c>
      <c r="E174" s="2" t="s">
        <v>1690</v>
      </c>
      <c r="F174" s="2" t="s">
        <v>1691</v>
      </c>
      <c r="G174" t="b">
        <f t="shared" si="4"/>
        <v>1</v>
      </c>
      <c r="H174" t="str">
        <f t="shared" si="5"/>
        <v>Hyderabad</v>
      </c>
    </row>
    <row r="175" spans="1:8" x14ac:dyDescent="0.4">
      <c r="A175" s="2" t="s">
        <v>2207</v>
      </c>
      <c r="B175" s="2" t="s">
        <v>2208</v>
      </c>
      <c r="C175" s="2" t="s">
        <v>2209</v>
      </c>
      <c r="D175" s="18">
        <v>10666641106541</v>
      </c>
      <c r="E175" s="2" t="s">
        <v>1730</v>
      </c>
      <c r="F175" s="2" t="s">
        <v>1717</v>
      </c>
      <c r="G175" t="b">
        <f t="shared" si="4"/>
        <v>1</v>
      </c>
      <c r="H175" t="str">
        <f t="shared" si="5"/>
        <v>Pune</v>
      </c>
    </row>
    <row r="176" spans="1:8" x14ac:dyDescent="0.4">
      <c r="A176" s="2" t="s">
        <v>2210</v>
      </c>
      <c r="B176" s="2" t="s">
        <v>2211</v>
      </c>
      <c r="C176" s="2" t="s">
        <v>2212</v>
      </c>
      <c r="D176" s="18">
        <v>11340785169949</v>
      </c>
      <c r="E176" s="2" t="s">
        <v>1739</v>
      </c>
      <c r="F176" s="2" t="s">
        <v>1717</v>
      </c>
      <c r="G176" t="b">
        <f t="shared" si="4"/>
        <v>1</v>
      </c>
      <c r="H176" t="str">
        <f t="shared" si="5"/>
        <v>Chennai</v>
      </c>
    </row>
    <row r="177" spans="1:8" x14ac:dyDescent="0.4">
      <c r="A177" s="2" t="s">
        <v>2213</v>
      </c>
      <c r="B177" s="2" t="s">
        <v>2214</v>
      </c>
      <c r="C177" s="2" t="s">
        <v>1720</v>
      </c>
      <c r="D177" s="18">
        <v>8905836683482</v>
      </c>
      <c r="E177" s="2" t="s">
        <v>1739</v>
      </c>
      <c r="F177" s="2" t="s">
        <v>1717</v>
      </c>
      <c r="G177" t="b">
        <f t="shared" si="4"/>
        <v>0</v>
      </c>
      <c r="H177" t="str">
        <f t="shared" si="5"/>
        <v>Chennai</v>
      </c>
    </row>
    <row r="178" spans="1:8" x14ac:dyDescent="0.4">
      <c r="A178" s="2" t="s">
        <v>2215</v>
      </c>
      <c r="B178" s="2" t="s">
        <v>2216</v>
      </c>
      <c r="C178" s="2" t="s">
        <v>2217</v>
      </c>
      <c r="D178" s="18" t="s">
        <v>3777</v>
      </c>
      <c r="E178" s="2" t="s">
        <v>1730</v>
      </c>
      <c r="F178" s="2" t="s">
        <v>1691</v>
      </c>
      <c r="G178" t="b">
        <f t="shared" si="4"/>
        <v>1</v>
      </c>
      <c r="H178" t="str">
        <f t="shared" si="5"/>
        <v>Pune</v>
      </c>
    </row>
    <row r="179" spans="1:8" x14ac:dyDescent="0.4">
      <c r="A179" s="2" t="s">
        <v>2218</v>
      </c>
      <c r="B179" s="2" t="s">
        <v>2219</v>
      </c>
      <c r="C179" s="2" t="s">
        <v>2220</v>
      </c>
      <c r="D179" s="18">
        <v>18891787915</v>
      </c>
      <c r="E179" s="2" t="s">
        <v>1713</v>
      </c>
      <c r="F179" s="2" t="s">
        <v>1717</v>
      </c>
      <c r="G179" t="b">
        <f t="shared" si="4"/>
        <v>1</v>
      </c>
      <c r="H179" t="str">
        <f t="shared" si="5"/>
        <v>Bangalore</v>
      </c>
    </row>
    <row r="180" spans="1:8" x14ac:dyDescent="0.4">
      <c r="A180" s="2" t="s">
        <v>2221</v>
      </c>
      <c r="B180" s="2" t="s">
        <v>2222</v>
      </c>
      <c r="C180" s="2" t="s">
        <v>2223</v>
      </c>
      <c r="D180" s="18" t="s">
        <v>2224</v>
      </c>
      <c r="E180" s="2" t="s">
        <v>1685</v>
      </c>
      <c r="F180" s="2" t="s">
        <v>1691</v>
      </c>
      <c r="G180" t="b">
        <f t="shared" si="4"/>
        <v>1</v>
      </c>
      <c r="H180" t="str">
        <f t="shared" si="5"/>
        <v>Kolkata</v>
      </c>
    </row>
    <row r="181" spans="1:8" x14ac:dyDescent="0.4">
      <c r="A181" s="2" t="s">
        <v>2225</v>
      </c>
      <c r="B181" s="2" t="s">
        <v>2226</v>
      </c>
      <c r="C181" s="2" t="s">
        <v>2227</v>
      </c>
      <c r="D181" s="18" t="s">
        <v>2228</v>
      </c>
      <c r="E181" s="2" t="s">
        <v>1739</v>
      </c>
      <c r="F181" s="2" t="s">
        <v>1717</v>
      </c>
      <c r="G181" t="b">
        <f t="shared" si="4"/>
        <v>1</v>
      </c>
      <c r="H181" t="str">
        <f t="shared" si="5"/>
        <v>Chennai</v>
      </c>
    </row>
    <row r="182" spans="1:8" x14ac:dyDescent="0.4">
      <c r="A182" s="2" t="s">
        <v>2229</v>
      </c>
      <c r="B182" s="2" t="s">
        <v>2230</v>
      </c>
      <c r="C182" s="2" t="s">
        <v>2231</v>
      </c>
      <c r="D182" s="18">
        <v>18260418095</v>
      </c>
      <c r="E182" s="2" t="s">
        <v>1730</v>
      </c>
      <c r="F182" s="2" t="s">
        <v>1686</v>
      </c>
      <c r="G182" t="b">
        <f t="shared" si="4"/>
        <v>1</v>
      </c>
      <c r="H182" t="str">
        <f t="shared" si="5"/>
        <v>Pune</v>
      </c>
    </row>
    <row r="183" spans="1:8" x14ac:dyDescent="0.4">
      <c r="A183" s="2" t="s">
        <v>2232</v>
      </c>
      <c r="B183" s="2" t="s">
        <v>2233</v>
      </c>
      <c r="C183" s="2" t="s">
        <v>2234</v>
      </c>
      <c r="D183" s="18" t="s">
        <v>3778</v>
      </c>
      <c r="E183" s="2" t="s">
        <v>1685</v>
      </c>
      <c r="F183" s="2" t="s">
        <v>1717</v>
      </c>
      <c r="G183" t="b">
        <f t="shared" si="4"/>
        <v>1</v>
      </c>
      <c r="H183" t="str">
        <f t="shared" si="5"/>
        <v>Kolkata</v>
      </c>
    </row>
    <row r="184" spans="1:8" x14ac:dyDescent="0.4">
      <c r="A184" s="2" t="s">
        <v>2235</v>
      </c>
      <c r="B184" s="2" t="s">
        <v>2236</v>
      </c>
      <c r="C184" s="2" t="s">
        <v>2237</v>
      </c>
      <c r="D184" s="18">
        <v>12746921188241</v>
      </c>
      <c r="E184" s="2" t="s">
        <v>1713</v>
      </c>
      <c r="F184" s="2" t="s">
        <v>1699</v>
      </c>
      <c r="G184" t="b">
        <f t="shared" si="4"/>
        <v>1</v>
      </c>
      <c r="H184" t="str">
        <f t="shared" si="5"/>
        <v>Bangalore</v>
      </c>
    </row>
    <row r="185" spans="1:8" x14ac:dyDescent="0.4">
      <c r="A185" s="2" t="s">
        <v>2238</v>
      </c>
      <c r="B185" s="2" t="s">
        <v>2239</v>
      </c>
      <c r="C185" s="2" t="s">
        <v>2240</v>
      </c>
      <c r="D185" s="18">
        <v>19626422297589</v>
      </c>
      <c r="E185" s="2" t="s">
        <v>1739</v>
      </c>
      <c r="F185" s="2" t="s">
        <v>1691</v>
      </c>
      <c r="G185" t="b">
        <f t="shared" si="4"/>
        <v>1</v>
      </c>
      <c r="H185" t="str">
        <f t="shared" si="5"/>
        <v>Chennai</v>
      </c>
    </row>
    <row r="186" spans="1:8" x14ac:dyDescent="0.4">
      <c r="A186" s="2" t="s">
        <v>2241</v>
      </c>
      <c r="B186" s="2" t="s">
        <v>2242</v>
      </c>
      <c r="C186" s="2" t="s">
        <v>2243</v>
      </c>
      <c r="D186" s="18">
        <v>7045421854</v>
      </c>
      <c r="E186" s="2" t="s">
        <v>1739</v>
      </c>
      <c r="F186" s="2" t="s">
        <v>1686</v>
      </c>
      <c r="G186" t="b">
        <f t="shared" si="4"/>
        <v>1</v>
      </c>
      <c r="H186" t="str">
        <f t="shared" si="5"/>
        <v>Chennai</v>
      </c>
    </row>
    <row r="187" spans="1:8" x14ac:dyDescent="0.4">
      <c r="A187" s="2" t="s">
        <v>2244</v>
      </c>
      <c r="B187" s="2" t="s">
        <v>2245</v>
      </c>
      <c r="C187" s="2" t="s">
        <v>2246</v>
      </c>
      <c r="D187" s="18" t="s">
        <v>3779</v>
      </c>
      <c r="E187" s="2" t="s">
        <v>1730</v>
      </c>
      <c r="F187" s="2" t="s">
        <v>1691</v>
      </c>
      <c r="G187" t="b">
        <f t="shared" si="4"/>
        <v>1</v>
      </c>
      <c r="H187" t="str">
        <f t="shared" si="5"/>
        <v>Pune</v>
      </c>
    </row>
    <row r="188" spans="1:8" x14ac:dyDescent="0.4">
      <c r="A188" s="2" t="s">
        <v>2247</v>
      </c>
      <c r="B188" s="2" t="s">
        <v>2248</v>
      </c>
      <c r="C188" s="2" t="s">
        <v>2249</v>
      </c>
      <c r="D188" s="18">
        <v>19001635640723</v>
      </c>
      <c r="E188" s="2" t="s">
        <v>1739</v>
      </c>
      <c r="F188" s="2" t="s">
        <v>1717</v>
      </c>
      <c r="G188" t="b">
        <f t="shared" si="4"/>
        <v>1</v>
      </c>
      <c r="H188" t="str">
        <f t="shared" si="5"/>
        <v>Chennai</v>
      </c>
    </row>
    <row r="189" spans="1:8" x14ac:dyDescent="0.4">
      <c r="A189" s="2" t="s">
        <v>2250</v>
      </c>
      <c r="B189" s="2" t="s">
        <v>2251</v>
      </c>
      <c r="C189" s="2" t="s">
        <v>2252</v>
      </c>
      <c r="D189" s="18" t="s">
        <v>3780</v>
      </c>
      <c r="E189" s="2" t="s">
        <v>1698</v>
      </c>
      <c r="F189" s="2" t="s">
        <v>1699</v>
      </c>
      <c r="G189" t="b">
        <f t="shared" si="4"/>
        <v>1</v>
      </c>
      <c r="H189" t="str">
        <f t="shared" si="5"/>
        <v>Delhi</v>
      </c>
    </row>
    <row r="190" spans="1:8" x14ac:dyDescent="0.4">
      <c r="A190" s="2" t="s">
        <v>2253</v>
      </c>
      <c r="B190" s="2" t="s">
        <v>2254</v>
      </c>
      <c r="C190" s="2" t="s">
        <v>1720</v>
      </c>
      <c r="D190" s="18" t="s">
        <v>2255</v>
      </c>
      <c r="E190" s="2" t="s">
        <v>1698</v>
      </c>
      <c r="F190" s="2" t="s">
        <v>1699</v>
      </c>
      <c r="G190" t="b">
        <f t="shared" si="4"/>
        <v>0</v>
      </c>
      <c r="H190" t="str">
        <f t="shared" si="5"/>
        <v>Delhi</v>
      </c>
    </row>
    <row r="191" spans="1:8" x14ac:dyDescent="0.4">
      <c r="A191" s="2" t="s">
        <v>2256</v>
      </c>
      <c r="B191" s="2" t="s">
        <v>2257</v>
      </c>
      <c r="C191" s="2" t="s">
        <v>2258</v>
      </c>
      <c r="D191" s="18" t="s">
        <v>3781</v>
      </c>
      <c r="E191" s="2" t="s">
        <v>1698</v>
      </c>
      <c r="F191" s="2" t="s">
        <v>1699</v>
      </c>
      <c r="G191" t="b">
        <f t="shared" si="4"/>
        <v>1</v>
      </c>
      <c r="H191" t="str">
        <f t="shared" si="5"/>
        <v>Delhi</v>
      </c>
    </row>
    <row r="192" spans="1:8" x14ac:dyDescent="0.4">
      <c r="A192" s="2" t="s">
        <v>2259</v>
      </c>
      <c r="B192" s="2" t="s">
        <v>2260</v>
      </c>
      <c r="C192" s="2" t="s">
        <v>2261</v>
      </c>
      <c r="D192" s="18">
        <v>10119509271</v>
      </c>
      <c r="E192" s="2" t="s">
        <v>1730</v>
      </c>
      <c r="F192" s="2" t="s">
        <v>1717</v>
      </c>
      <c r="G192" t="b">
        <f t="shared" si="4"/>
        <v>1</v>
      </c>
      <c r="H192" t="str">
        <f t="shared" si="5"/>
        <v>Pune</v>
      </c>
    </row>
    <row r="193" spans="1:8" x14ac:dyDescent="0.4">
      <c r="A193" s="2" t="s">
        <v>2262</v>
      </c>
      <c r="B193" s="2" t="s">
        <v>2263</v>
      </c>
      <c r="C193" s="2" t="s">
        <v>2264</v>
      </c>
      <c r="D193" s="18">
        <v>1152610537092300</v>
      </c>
      <c r="E193" s="2" t="s">
        <v>1739</v>
      </c>
      <c r="F193" s="2" t="s">
        <v>1717</v>
      </c>
      <c r="G193" t="b">
        <f t="shared" si="4"/>
        <v>1</v>
      </c>
      <c r="H193" t="str">
        <f t="shared" si="5"/>
        <v>Chennai</v>
      </c>
    </row>
    <row r="194" spans="1:8" x14ac:dyDescent="0.4">
      <c r="A194" s="2" t="s">
        <v>2265</v>
      </c>
      <c r="B194" s="2" t="s">
        <v>2266</v>
      </c>
      <c r="C194" s="2" t="s">
        <v>2267</v>
      </c>
      <c r="D194" s="18">
        <v>1695007418948</v>
      </c>
      <c r="E194" s="2" t="s">
        <v>1713</v>
      </c>
      <c r="F194" s="2" t="s">
        <v>1699</v>
      </c>
      <c r="G194" t="b">
        <f t="shared" ref="G194:G257" si="6">ISNUMBER(SEARCH("@",C194))</f>
        <v>1</v>
      </c>
      <c r="H194" t="str">
        <f t="shared" si="5"/>
        <v>Bangalore</v>
      </c>
    </row>
    <row r="195" spans="1:8" x14ac:dyDescent="0.4">
      <c r="A195" s="2" t="s">
        <v>2268</v>
      </c>
      <c r="B195" s="2" t="s">
        <v>2269</v>
      </c>
      <c r="C195" s="2" t="s">
        <v>2270</v>
      </c>
      <c r="D195" s="18">
        <v>15432987698936</v>
      </c>
      <c r="E195" s="2" t="s">
        <v>1739</v>
      </c>
      <c r="F195" s="2" t="s">
        <v>1717</v>
      </c>
      <c r="G195" t="b">
        <f t="shared" si="6"/>
        <v>1</v>
      </c>
      <c r="H195" t="str">
        <f t="shared" ref="H195:H258" si="7">PROPER(E195)</f>
        <v>Chennai</v>
      </c>
    </row>
    <row r="196" spans="1:8" x14ac:dyDescent="0.4">
      <c r="A196" s="2" t="s">
        <v>2271</v>
      </c>
      <c r="B196" s="2" t="s">
        <v>2272</v>
      </c>
      <c r="C196" s="2" t="s">
        <v>2273</v>
      </c>
      <c r="D196" s="18" t="s">
        <v>3782</v>
      </c>
      <c r="E196" s="2" t="s">
        <v>1713</v>
      </c>
      <c r="F196" s="2" t="s">
        <v>1717</v>
      </c>
      <c r="G196" t="b">
        <f t="shared" si="6"/>
        <v>1</v>
      </c>
      <c r="H196" t="str">
        <f t="shared" si="7"/>
        <v>Bangalore</v>
      </c>
    </row>
    <row r="197" spans="1:8" x14ac:dyDescent="0.4">
      <c r="A197" s="2" t="s">
        <v>2274</v>
      </c>
      <c r="B197" s="2" t="s">
        <v>2275</v>
      </c>
      <c r="C197" s="2" t="s">
        <v>2276</v>
      </c>
      <c r="D197" s="18">
        <v>81310450258963</v>
      </c>
      <c r="E197" s="2" t="s">
        <v>1739</v>
      </c>
      <c r="F197" s="2" t="s">
        <v>1686</v>
      </c>
      <c r="G197" t="b">
        <f t="shared" si="6"/>
        <v>1</v>
      </c>
      <c r="H197" t="str">
        <f t="shared" si="7"/>
        <v>Chennai</v>
      </c>
    </row>
    <row r="198" spans="1:8" x14ac:dyDescent="0.4">
      <c r="A198" s="2" t="s">
        <v>2277</v>
      </c>
      <c r="B198" s="2" t="s">
        <v>2278</v>
      </c>
      <c r="C198" s="2" t="s">
        <v>2279</v>
      </c>
      <c r="D198" s="18">
        <v>1217435748352680</v>
      </c>
      <c r="E198" s="2" t="s">
        <v>1698</v>
      </c>
      <c r="F198" s="2" t="s">
        <v>1717</v>
      </c>
      <c r="G198" t="b">
        <f t="shared" si="6"/>
        <v>1</v>
      </c>
      <c r="H198" t="str">
        <f t="shared" si="7"/>
        <v>Delhi</v>
      </c>
    </row>
    <row r="199" spans="1:8" x14ac:dyDescent="0.4">
      <c r="A199" s="2" t="s">
        <v>2280</v>
      </c>
      <c r="B199" s="2" t="s">
        <v>429</v>
      </c>
      <c r="C199" s="2" t="s">
        <v>2281</v>
      </c>
      <c r="D199" s="18" t="s">
        <v>3783</v>
      </c>
      <c r="E199" s="2" t="s">
        <v>1739</v>
      </c>
      <c r="F199" s="2" t="s">
        <v>1686</v>
      </c>
      <c r="G199" t="b">
        <f t="shared" si="6"/>
        <v>1</v>
      </c>
      <c r="H199" t="str">
        <f t="shared" si="7"/>
        <v>Chennai</v>
      </c>
    </row>
    <row r="200" spans="1:8" x14ac:dyDescent="0.4">
      <c r="A200" s="2" t="s">
        <v>2282</v>
      </c>
      <c r="B200" s="2" t="s">
        <v>2283</v>
      </c>
      <c r="C200" s="2" t="s">
        <v>2284</v>
      </c>
      <c r="D200" s="18">
        <v>8425364628</v>
      </c>
      <c r="E200" s="2" t="s">
        <v>1739</v>
      </c>
      <c r="F200" s="2" t="s">
        <v>1699</v>
      </c>
      <c r="G200" t="b">
        <f t="shared" si="6"/>
        <v>1</v>
      </c>
      <c r="H200" t="str">
        <f t="shared" si="7"/>
        <v>Chennai</v>
      </c>
    </row>
    <row r="201" spans="1:8" x14ac:dyDescent="0.4">
      <c r="A201" s="2" t="s">
        <v>2285</v>
      </c>
      <c r="B201" s="2" t="s">
        <v>2286</v>
      </c>
      <c r="C201" s="2" t="s">
        <v>2287</v>
      </c>
      <c r="D201" s="18" t="s">
        <v>2288</v>
      </c>
      <c r="E201" s="2" t="s">
        <v>1698</v>
      </c>
      <c r="F201" s="2" t="s">
        <v>1691</v>
      </c>
      <c r="G201" t="b">
        <f t="shared" si="6"/>
        <v>1</v>
      </c>
      <c r="H201" t="str">
        <f t="shared" si="7"/>
        <v>Delhi</v>
      </c>
    </row>
    <row r="202" spans="1:8" x14ac:dyDescent="0.4">
      <c r="A202" s="2" t="s">
        <v>2289</v>
      </c>
      <c r="B202" s="2" t="s">
        <v>2290</v>
      </c>
      <c r="C202" s="2" t="s">
        <v>2291</v>
      </c>
      <c r="D202" s="18">
        <v>15515623920908</v>
      </c>
      <c r="E202" s="2" t="s">
        <v>1730</v>
      </c>
      <c r="F202" s="2" t="s">
        <v>1717</v>
      </c>
      <c r="G202" t="b">
        <f t="shared" si="6"/>
        <v>1</v>
      </c>
      <c r="H202" t="str">
        <f t="shared" si="7"/>
        <v>Pune</v>
      </c>
    </row>
    <row r="203" spans="1:8" x14ac:dyDescent="0.4">
      <c r="A203" s="2" t="s">
        <v>2292</v>
      </c>
      <c r="B203" s="2" t="s">
        <v>2293</v>
      </c>
      <c r="C203" s="2" t="s">
        <v>2294</v>
      </c>
      <c r="D203" s="18">
        <v>510740913111786</v>
      </c>
      <c r="E203" s="2" t="s">
        <v>1730</v>
      </c>
      <c r="F203" s="2" t="s">
        <v>1699</v>
      </c>
      <c r="G203" t="b">
        <f t="shared" si="6"/>
        <v>1</v>
      </c>
      <c r="H203" t="str">
        <f t="shared" si="7"/>
        <v>Pune</v>
      </c>
    </row>
    <row r="204" spans="1:8" x14ac:dyDescent="0.4">
      <c r="A204" s="2" t="s">
        <v>2295</v>
      </c>
      <c r="B204" s="2" t="s">
        <v>2296</v>
      </c>
      <c r="C204" s="2" t="s">
        <v>2297</v>
      </c>
      <c r="D204" s="18">
        <v>9025476022</v>
      </c>
      <c r="E204" s="2" t="s">
        <v>1739</v>
      </c>
      <c r="F204" s="2" t="s">
        <v>1699</v>
      </c>
      <c r="G204" t="b">
        <f t="shared" si="6"/>
        <v>1</v>
      </c>
      <c r="H204" t="str">
        <f t="shared" si="7"/>
        <v>Chennai</v>
      </c>
    </row>
    <row r="205" spans="1:8" x14ac:dyDescent="0.4">
      <c r="A205" s="2" t="s">
        <v>2298</v>
      </c>
      <c r="B205" s="2" t="s">
        <v>2299</v>
      </c>
      <c r="C205" s="2" t="s">
        <v>2300</v>
      </c>
      <c r="D205" s="18">
        <v>106953541201227</v>
      </c>
      <c r="E205" s="2" t="s">
        <v>1739</v>
      </c>
      <c r="F205" s="2" t="s">
        <v>1717</v>
      </c>
      <c r="G205" t="b">
        <f t="shared" si="6"/>
        <v>1</v>
      </c>
      <c r="H205" t="str">
        <f t="shared" si="7"/>
        <v>Chennai</v>
      </c>
    </row>
    <row r="206" spans="1:8" x14ac:dyDescent="0.4">
      <c r="A206" s="2" t="s">
        <v>2301</v>
      </c>
      <c r="B206" s="2" t="s">
        <v>2302</v>
      </c>
      <c r="C206" s="2" t="s">
        <v>2303</v>
      </c>
      <c r="D206" s="18">
        <v>950026015153259</v>
      </c>
      <c r="E206" s="2" t="s">
        <v>1713</v>
      </c>
      <c r="F206" s="2" t="s">
        <v>1691</v>
      </c>
      <c r="G206" t="b">
        <f t="shared" si="6"/>
        <v>1</v>
      </c>
      <c r="H206" t="str">
        <f t="shared" si="7"/>
        <v>Bangalore</v>
      </c>
    </row>
    <row r="207" spans="1:8" x14ac:dyDescent="0.4">
      <c r="A207" s="2" t="s">
        <v>2304</v>
      </c>
      <c r="B207" s="2" t="s">
        <v>2305</v>
      </c>
      <c r="C207" s="2" t="s">
        <v>2306</v>
      </c>
      <c r="D207" s="18">
        <v>7950740717327</v>
      </c>
      <c r="E207" s="2" t="s">
        <v>1739</v>
      </c>
      <c r="F207" s="2" t="s">
        <v>1691</v>
      </c>
      <c r="G207" t="b">
        <f t="shared" si="6"/>
        <v>1</v>
      </c>
      <c r="H207" t="str">
        <f t="shared" si="7"/>
        <v>Chennai</v>
      </c>
    </row>
    <row r="208" spans="1:8" x14ac:dyDescent="0.4">
      <c r="A208" s="2" t="s">
        <v>2307</v>
      </c>
      <c r="B208" s="2" t="s">
        <v>2308</v>
      </c>
      <c r="C208" s="2" t="s">
        <v>2309</v>
      </c>
      <c r="D208" s="18">
        <v>18059503100649</v>
      </c>
      <c r="E208" s="2" t="s">
        <v>1703</v>
      </c>
      <c r="F208" s="2" t="s">
        <v>1717</v>
      </c>
      <c r="G208" t="b">
        <f t="shared" si="6"/>
        <v>1</v>
      </c>
      <c r="H208" t="str">
        <f t="shared" si="7"/>
        <v>Mumbai</v>
      </c>
    </row>
    <row r="209" spans="1:8" x14ac:dyDescent="0.4">
      <c r="A209" s="2" t="s">
        <v>2310</v>
      </c>
      <c r="B209" s="2" t="s">
        <v>2311</v>
      </c>
      <c r="C209" s="2" t="s">
        <v>2312</v>
      </c>
      <c r="D209" s="18">
        <v>4039104520</v>
      </c>
      <c r="E209" s="2" t="s">
        <v>1685</v>
      </c>
      <c r="F209" s="2" t="s">
        <v>1699</v>
      </c>
      <c r="G209" t="b">
        <f t="shared" si="6"/>
        <v>1</v>
      </c>
      <c r="H209" t="str">
        <f t="shared" si="7"/>
        <v>Kolkata</v>
      </c>
    </row>
    <row r="210" spans="1:8" x14ac:dyDescent="0.4">
      <c r="A210" s="2" t="s">
        <v>2313</v>
      </c>
      <c r="B210" s="2" t="s">
        <v>2314</v>
      </c>
      <c r="C210" s="2" t="s">
        <v>2315</v>
      </c>
      <c r="D210" s="18">
        <v>6089411849</v>
      </c>
      <c r="E210" s="2" t="s">
        <v>1713</v>
      </c>
      <c r="F210" s="2" t="s">
        <v>1717</v>
      </c>
      <c r="G210" t="b">
        <f t="shared" si="6"/>
        <v>1</v>
      </c>
      <c r="H210" t="str">
        <f t="shared" si="7"/>
        <v>Bangalore</v>
      </c>
    </row>
    <row r="211" spans="1:8" x14ac:dyDescent="0.4">
      <c r="A211" s="2" t="s">
        <v>2316</v>
      </c>
      <c r="B211" s="2" t="s">
        <v>2317</v>
      </c>
      <c r="C211" s="2" t="s">
        <v>1720</v>
      </c>
      <c r="D211" s="18">
        <v>3599285535</v>
      </c>
      <c r="E211" s="2" t="s">
        <v>1730</v>
      </c>
      <c r="F211" s="2" t="s">
        <v>1691</v>
      </c>
      <c r="G211" t="b">
        <f t="shared" si="6"/>
        <v>0</v>
      </c>
      <c r="H211" t="str">
        <f t="shared" si="7"/>
        <v>Pune</v>
      </c>
    </row>
    <row r="212" spans="1:8" x14ac:dyDescent="0.4">
      <c r="A212" s="2" t="s">
        <v>2318</v>
      </c>
      <c r="B212" s="2" t="s">
        <v>2319</v>
      </c>
      <c r="C212" s="2" t="s">
        <v>2320</v>
      </c>
      <c r="D212" s="18">
        <v>1952056100679900</v>
      </c>
      <c r="E212" s="2" t="s">
        <v>1690</v>
      </c>
      <c r="F212" s="2" t="s">
        <v>1717</v>
      </c>
      <c r="G212" t="b">
        <f t="shared" si="6"/>
        <v>1</v>
      </c>
      <c r="H212" t="str">
        <f t="shared" si="7"/>
        <v>Hyderabad</v>
      </c>
    </row>
    <row r="213" spans="1:8" x14ac:dyDescent="0.4">
      <c r="A213" s="2" t="s">
        <v>2321</v>
      </c>
      <c r="B213" s="2" t="s">
        <v>2322</v>
      </c>
      <c r="C213" s="2" t="s">
        <v>2323</v>
      </c>
      <c r="D213" s="18" t="s">
        <v>3784</v>
      </c>
      <c r="E213" s="2" t="s">
        <v>1730</v>
      </c>
      <c r="F213" s="2" t="s">
        <v>1699</v>
      </c>
      <c r="G213" t="b">
        <f t="shared" si="6"/>
        <v>1</v>
      </c>
      <c r="H213" t="str">
        <f t="shared" si="7"/>
        <v>Pune</v>
      </c>
    </row>
    <row r="214" spans="1:8" x14ac:dyDescent="0.4">
      <c r="A214" s="2" t="s">
        <v>2324</v>
      </c>
      <c r="B214" s="2" t="s">
        <v>2325</v>
      </c>
      <c r="C214" s="2" t="s">
        <v>1720</v>
      </c>
      <c r="D214" s="18">
        <v>2339449530067</v>
      </c>
      <c r="E214" s="2" t="s">
        <v>1730</v>
      </c>
      <c r="F214" s="2" t="s">
        <v>1691</v>
      </c>
      <c r="G214" t="b">
        <f t="shared" si="6"/>
        <v>0</v>
      </c>
      <c r="H214" t="str">
        <f t="shared" si="7"/>
        <v>Pune</v>
      </c>
    </row>
    <row r="215" spans="1:8" x14ac:dyDescent="0.4">
      <c r="A215" s="2" t="s">
        <v>2326</v>
      </c>
      <c r="B215" s="2" t="s">
        <v>2327</v>
      </c>
      <c r="C215" s="2" t="s">
        <v>2328</v>
      </c>
      <c r="D215" s="18">
        <v>6255032501736</v>
      </c>
      <c r="E215" s="2" t="s">
        <v>1739</v>
      </c>
      <c r="F215" s="2" t="s">
        <v>1691</v>
      </c>
      <c r="G215" t="b">
        <f t="shared" si="6"/>
        <v>1</v>
      </c>
      <c r="H215" t="str">
        <f t="shared" si="7"/>
        <v>Chennai</v>
      </c>
    </row>
    <row r="216" spans="1:8" x14ac:dyDescent="0.4">
      <c r="A216" s="2" t="s">
        <v>2329</v>
      </c>
      <c r="B216" s="2" t="s">
        <v>2330</v>
      </c>
      <c r="C216" s="2" t="s">
        <v>2331</v>
      </c>
      <c r="D216" s="18">
        <v>426241784290292</v>
      </c>
      <c r="E216" s="2" t="s">
        <v>1739</v>
      </c>
      <c r="F216" s="2" t="s">
        <v>1691</v>
      </c>
      <c r="G216" t="b">
        <f t="shared" si="6"/>
        <v>1</v>
      </c>
      <c r="H216" t="str">
        <f t="shared" si="7"/>
        <v>Chennai</v>
      </c>
    </row>
    <row r="217" spans="1:8" x14ac:dyDescent="0.4">
      <c r="A217" s="2" t="s">
        <v>2332</v>
      </c>
      <c r="B217" s="2" t="s">
        <v>840</v>
      </c>
      <c r="C217" s="2" t="s">
        <v>2333</v>
      </c>
      <c r="D217" s="18">
        <v>3451100906</v>
      </c>
      <c r="E217" s="2" t="s">
        <v>1690</v>
      </c>
      <c r="F217" s="2" t="s">
        <v>1699</v>
      </c>
      <c r="G217" t="b">
        <f t="shared" si="6"/>
        <v>1</v>
      </c>
      <c r="H217" t="str">
        <f t="shared" si="7"/>
        <v>Hyderabad</v>
      </c>
    </row>
    <row r="218" spans="1:8" x14ac:dyDescent="0.4">
      <c r="A218" s="2" t="s">
        <v>2334</v>
      </c>
      <c r="B218" s="2" t="s">
        <v>2335</v>
      </c>
      <c r="C218" s="2" t="s">
        <v>1720</v>
      </c>
      <c r="D218" s="18">
        <v>1053088684302110</v>
      </c>
      <c r="E218" s="2" t="s">
        <v>1739</v>
      </c>
      <c r="F218" s="2" t="s">
        <v>1717</v>
      </c>
      <c r="G218" t="b">
        <f t="shared" si="6"/>
        <v>0</v>
      </c>
      <c r="H218" t="str">
        <f t="shared" si="7"/>
        <v>Chennai</v>
      </c>
    </row>
    <row r="219" spans="1:8" x14ac:dyDescent="0.4">
      <c r="A219" s="2" t="s">
        <v>2336</v>
      </c>
      <c r="B219" s="2" t="s">
        <v>2337</v>
      </c>
      <c r="C219" s="2" t="s">
        <v>2338</v>
      </c>
      <c r="D219" s="18" t="s">
        <v>3785</v>
      </c>
      <c r="E219" s="2" t="s">
        <v>1739</v>
      </c>
      <c r="F219" s="2" t="s">
        <v>1691</v>
      </c>
      <c r="G219" t="b">
        <f t="shared" si="6"/>
        <v>1</v>
      </c>
      <c r="H219" t="str">
        <f t="shared" si="7"/>
        <v>Chennai</v>
      </c>
    </row>
    <row r="220" spans="1:8" x14ac:dyDescent="0.4">
      <c r="A220" s="2" t="s">
        <v>2339</v>
      </c>
      <c r="B220" s="2" t="s">
        <v>2340</v>
      </c>
      <c r="C220" s="2" t="s">
        <v>2341</v>
      </c>
      <c r="D220" s="18">
        <v>12129964260</v>
      </c>
      <c r="E220" s="2" t="s">
        <v>1685</v>
      </c>
      <c r="F220" s="2" t="s">
        <v>1699</v>
      </c>
      <c r="G220" t="b">
        <f t="shared" si="6"/>
        <v>1</v>
      </c>
      <c r="H220" t="str">
        <f t="shared" si="7"/>
        <v>Kolkata</v>
      </c>
    </row>
    <row r="221" spans="1:8" x14ac:dyDescent="0.4">
      <c r="A221" s="2" t="s">
        <v>2342</v>
      </c>
      <c r="B221" s="2" t="s">
        <v>2343</v>
      </c>
      <c r="C221" s="2" t="s">
        <v>2344</v>
      </c>
      <c r="D221" s="18">
        <v>3620275582</v>
      </c>
      <c r="E221" s="2" t="s">
        <v>1730</v>
      </c>
      <c r="F221" s="2" t="s">
        <v>1699</v>
      </c>
      <c r="G221" t="b">
        <f t="shared" si="6"/>
        <v>1</v>
      </c>
      <c r="H221" t="str">
        <f t="shared" si="7"/>
        <v>Pune</v>
      </c>
    </row>
    <row r="222" spans="1:8" x14ac:dyDescent="0.4">
      <c r="A222" s="2" t="s">
        <v>2345</v>
      </c>
      <c r="B222" s="2" t="s">
        <v>2346</v>
      </c>
      <c r="C222" s="2" t="s">
        <v>2347</v>
      </c>
      <c r="D222" s="18">
        <v>4770920711</v>
      </c>
      <c r="E222" s="2" t="s">
        <v>1713</v>
      </c>
      <c r="F222" s="2" t="s">
        <v>1686</v>
      </c>
      <c r="G222" t="b">
        <f t="shared" si="6"/>
        <v>1</v>
      </c>
      <c r="H222" t="str">
        <f t="shared" si="7"/>
        <v>Bangalore</v>
      </c>
    </row>
    <row r="223" spans="1:8" x14ac:dyDescent="0.4">
      <c r="A223" s="2" t="s">
        <v>2348</v>
      </c>
      <c r="B223" s="2" t="s">
        <v>2349</v>
      </c>
      <c r="C223" s="2" t="s">
        <v>2350</v>
      </c>
      <c r="D223" s="18" t="s">
        <v>3786</v>
      </c>
      <c r="E223" s="2" t="s">
        <v>1685</v>
      </c>
      <c r="F223" s="2" t="s">
        <v>1691</v>
      </c>
      <c r="G223" t="b">
        <f t="shared" si="6"/>
        <v>1</v>
      </c>
      <c r="H223" t="str">
        <f t="shared" si="7"/>
        <v>Kolkata</v>
      </c>
    </row>
    <row r="224" spans="1:8" x14ac:dyDescent="0.4">
      <c r="A224" s="2" t="s">
        <v>2351</v>
      </c>
      <c r="B224" s="2" t="s">
        <v>2352</v>
      </c>
      <c r="C224" s="2" t="s">
        <v>2353</v>
      </c>
      <c r="D224" s="18">
        <v>189705916118638</v>
      </c>
      <c r="E224" s="2" t="s">
        <v>1690</v>
      </c>
      <c r="F224" s="2" t="s">
        <v>1699</v>
      </c>
      <c r="G224" t="b">
        <f t="shared" si="6"/>
        <v>1</v>
      </c>
      <c r="H224" t="str">
        <f t="shared" si="7"/>
        <v>Hyderabad</v>
      </c>
    </row>
    <row r="225" spans="1:8" x14ac:dyDescent="0.4">
      <c r="A225" s="2" t="s">
        <v>2354</v>
      </c>
      <c r="B225" s="2" t="s">
        <v>2355</v>
      </c>
      <c r="C225" s="2" t="s">
        <v>2356</v>
      </c>
      <c r="D225" s="18" t="s">
        <v>3787</v>
      </c>
      <c r="E225" s="2" t="s">
        <v>1685</v>
      </c>
      <c r="F225" s="2" t="s">
        <v>1717</v>
      </c>
      <c r="G225" t="b">
        <f t="shared" si="6"/>
        <v>1</v>
      </c>
      <c r="H225" t="str">
        <f t="shared" si="7"/>
        <v>Kolkata</v>
      </c>
    </row>
    <row r="226" spans="1:8" x14ac:dyDescent="0.4">
      <c r="A226" s="2" t="s">
        <v>2357</v>
      </c>
      <c r="B226" s="2" t="s">
        <v>2358</v>
      </c>
      <c r="C226" s="2" t="s">
        <v>2359</v>
      </c>
      <c r="D226" s="18">
        <v>5378931869289</v>
      </c>
      <c r="E226" s="2" t="s">
        <v>1703</v>
      </c>
      <c r="F226" s="2" t="s">
        <v>1699</v>
      </c>
      <c r="G226" t="b">
        <f t="shared" si="6"/>
        <v>1</v>
      </c>
      <c r="H226" t="str">
        <f t="shared" si="7"/>
        <v>Mumbai</v>
      </c>
    </row>
    <row r="227" spans="1:8" x14ac:dyDescent="0.4">
      <c r="A227" s="2" t="s">
        <v>2360</v>
      </c>
      <c r="B227" s="2" t="s">
        <v>2361</v>
      </c>
      <c r="C227" s="2" t="s">
        <v>2362</v>
      </c>
      <c r="D227" s="18">
        <v>28454018227200</v>
      </c>
      <c r="E227" s="2" t="s">
        <v>1730</v>
      </c>
      <c r="F227" s="2" t="s">
        <v>1699</v>
      </c>
      <c r="G227" t="b">
        <f t="shared" si="6"/>
        <v>1</v>
      </c>
      <c r="H227" t="str">
        <f t="shared" si="7"/>
        <v>Pune</v>
      </c>
    </row>
    <row r="228" spans="1:8" x14ac:dyDescent="0.4">
      <c r="A228" s="2" t="s">
        <v>2363</v>
      </c>
      <c r="B228" s="2" t="s">
        <v>2364</v>
      </c>
      <c r="C228" s="2" t="s">
        <v>2365</v>
      </c>
      <c r="D228" s="18" t="s">
        <v>3788</v>
      </c>
      <c r="E228" s="2" t="s">
        <v>1703</v>
      </c>
      <c r="F228" s="2" t="s">
        <v>1686</v>
      </c>
      <c r="G228" t="b">
        <f t="shared" si="6"/>
        <v>1</v>
      </c>
      <c r="H228" t="str">
        <f t="shared" si="7"/>
        <v>Mumbai</v>
      </c>
    </row>
    <row r="229" spans="1:8" x14ac:dyDescent="0.4">
      <c r="A229" s="2" t="s">
        <v>2366</v>
      </c>
      <c r="B229" s="2" t="s">
        <v>2367</v>
      </c>
      <c r="C229" s="2" t="s">
        <v>2368</v>
      </c>
      <c r="D229" s="18">
        <v>1447432811659</v>
      </c>
      <c r="E229" s="2" t="s">
        <v>1703</v>
      </c>
      <c r="F229" s="2" t="s">
        <v>1691</v>
      </c>
      <c r="G229" t="b">
        <f t="shared" si="6"/>
        <v>1</v>
      </c>
      <c r="H229" t="str">
        <f t="shared" si="7"/>
        <v>Mumbai</v>
      </c>
    </row>
    <row r="230" spans="1:8" x14ac:dyDescent="0.4">
      <c r="A230" s="2" t="s">
        <v>2369</v>
      </c>
      <c r="B230" s="2" t="s">
        <v>2370</v>
      </c>
      <c r="C230" s="2" t="s">
        <v>2371</v>
      </c>
      <c r="D230" s="18">
        <v>13020203042322</v>
      </c>
      <c r="E230" s="2" t="s">
        <v>1690</v>
      </c>
      <c r="F230" s="2" t="s">
        <v>1699</v>
      </c>
      <c r="G230" t="b">
        <f t="shared" si="6"/>
        <v>1</v>
      </c>
      <c r="H230" t="str">
        <f t="shared" si="7"/>
        <v>Hyderabad</v>
      </c>
    </row>
    <row r="231" spans="1:8" x14ac:dyDescent="0.4">
      <c r="A231" s="2" t="s">
        <v>2372</v>
      </c>
      <c r="B231" s="2" t="s">
        <v>2373</v>
      </c>
      <c r="C231" s="2" t="s">
        <v>2374</v>
      </c>
      <c r="D231" s="18">
        <v>17752135302816</v>
      </c>
      <c r="E231" s="2" t="s">
        <v>1698</v>
      </c>
      <c r="F231" s="2" t="s">
        <v>1717</v>
      </c>
      <c r="G231" t="b">
        <f t="shared" si="6"/>
        <v>1</v>
      </c>
      <c r="H231" t="str">
        <f t="shared" si="7"/>
        <v>Delhi</v>
      </c>
    </row>
    <row r="232" spans="1:8" x14ac:dyDescent="0.4">
      <c r="A232" s="2" t="s">
        <v>2375</v>
      </c>
      <c r="B232" s="2" t="s">
        <v>2376</v>
      </c>
      <c r="C232" s="2" t="s">
        <v>2377</v>
      </c>
      <c r="D232" s="18">
        <v>64630059377756</v>
      </c>
      <c r="E232" s="2" t="s">
        <v>1703</v>
      </c>
      <c r="F232" s="2" t="s">
        <v>1686</v>
      </c>
      <c r="G232" t="b">
        <f t="shared" si="6"/>
        <v>1</v>
      </c>
      <c r="H232" t="str">
        <f t="shared" si="7"/>
        <v>Mumbai</v>
      </c>
    </row>
    <row r="233" spans="1:8" x14ac:dyDescent="0.4">
      <c r="A233" s="2" t="s">
        <v>2378</v>
      </c>
      <c r="B233" s="2" t="s">
        <v>2379</v>
      </c>
      <c r="C233" s="2" t="s">
        <v>2380</v>
      </c>
      <c r="D233" s="18">
        <v>11983210291</v>
      </c>
      <c r="E233" s="2" t="s">
        <v>1739</v>
      </c>
      <c r="F233" s="2" t="s">
        <v>1699</v>
      </c>
      <c r="G233" t="b">
        <f t="shared" si="6"/>
        <v>1</v>
      </c>
      <c r="H233" t="str">
        <f t="shared" si="7"/>
        <v>Chennai</v>
      </c>
    </row>
    <row r="234" spans="1:8" x14ac:dyDescent="0.4">
      <c r="A234" s="2" t="s">
        <v>2381</v>
      </c>
      <c r="B234" s="2" t="s">
        <v>2382</v>
      </c>
      <c r="C234" s="2" t="s">
        <v>2383</v>
      </c>
      <c r="D234" s="18" t="s">
        <v>3789</v>
      </c>
      <c r="E234" s="2" t="s">
        <v>1703</v>
      </c>
      <c r="F234" s="2" t="s">
        <v>1717</v>
      </c>
      <c r="G234" t="b">
        <f t="shared" si="6"/>
        <v>1</v>
      </c>
      <c r="H234" t="str">
        <f t="shared" si="7"/>
        <v>Mumbai</v>
      </c>
    </row>
    <row r="235" spans="1:8" x14ac:dyDescent="0.4">
      <c r="A235" s="2" t="s">
        <v>2384</v>
      </c>
      <c r="B235" s="2" t="s">
        <v>2385</v>
      </c>
      <c r="C235" s="2" t="s">
        <v>2386</v>
      </c>
      <c r="D235" s="18">
        <v>1966229131670</v>
      </c>
      <c r="E235" s="2" t="s">
        <v>1698</v>
      </c>
      <c r="F235" s="2" t="s">
        <v>1691</v>
      </c>
      <c r="G235" t="b">
        <f t="shared" si="6"/>
        <v>1</v>
      </c>
      <c r="H235" t="str">
        <f t="shared" si="7"/>
        <v>Delhi</v>
      </c>
    </row>
    <row r="236" spans="1:8" x14ac:dyDescent="0.4">
      <c r="A236" s="2" t="s">
        <v>2387</v>
      </c>
      <c r="B236" s="2" t="s">
        <v>2388</v>
      </c>
      <c r="C236" s="2" t="s">
        <v>2389</v>
      </c>
      <c r="D236" s="18">
        <v>56856670636219</v>
      </c>
      <c r="E236" s="2" t="s">
        <v>1713</v>
      </c>
      <c r="F236" s="2" t="s">
        <v>1686</v>
      </c>
      <c r="G236" t="b">
        <f t="shared" si="6"/>
        <v>1</v>
      </c>
      <c r="H236" t="str">
        <f t="shared" si="7"/>
        <v>Bangalore</v>
      </c>
    </row>
    <row r="237" spans="1:8" x14ac:dyDescent="0.4">
      <c r="A237" s="2" t="s">
        <v>2390</v>
      </c>
      <c r="B237" s="2" t="s">
        <v>2391</v>
      </c>
      <c r="C237" s="2" t="s">
        <v>2392</v>
      </c>
      <c r="D237" s="18">
        <v>655049444076634</v>
      </c>
      <c r="E237" s="2" t="s">
        <v>1685</v>
      </c>
      <c r="F237" s="2" t="s">
        <v>1699</v>
      </c>
      <c r="G237" t="b">
        <f t="shared" si="6"/>
        <v>1</v>
      </c>
      <c r="H237" t="str">
        <f t="shared" si="7"/>
        <v>Kolkata</v>
      </c>
    </row>
    <row r="238" spans="1:8" x14ac:dyDescent="0.4">
      <c r="A238" s="2" t="s">
        <v>2393</v>
      </c>
      <c r="B238" s="2" t="s">
        <v>2394</v>
      </c>
      <c r="C238" s="2" t="s">
        <v>2395</v>
      </c>
      <c r="D238" s="18">
        <v>13396504962732</v>
      </c>
      <c r="E238" s="2" t="s">
        <v>1685</v>
      </c>
      <c r="F238" s="2" t="s">
        <v>1686</v>
      </c>
      <c r="G238" t="b">
        <f t="shared" si="6"/>
        <v>1</v>
      </c>
      <c r="H238" t="str">
        <f t="shared" si="7"/>
        <v>Kolkata</v>
      </c>
    </row>
    <row r="239" spans="1:8" x14ac:dyDescent="0.4">
      <c r="A239" s="2" t="s">
        <v>2396</v>
      </c>
      <c r="B239" s="2" t="s">
        <v>2397</v>
      </c>
      <c r="C239" s="2" t="s">
        <v>2398</v>
      </c>
      <c r="D239" s="18" t="s">
        <v>3790</v>
      </c>
      <c r="E239" s="2" t="s">
        <v>1698</v>
      </c>
      <c r="F239" s="2" t="s">
        <v>1717</v>
      </c>
      <c r="G239" t="b">
        <f t="shared" si="6"/>
        <v>1</v>
      </c>
      <c r="H239" t="str">
        <f t="shared" si="7"/>
        <v>Delhi</v>
      </c>
    </row>
    <row r="240" spans="1:8" x14ac:dyDescent="0.4">
      <c r="A240" s="2" t="s">
        <v>2399</v>
      </c>
      <c r="B240" s="2" t="s">
        <v>2400</v>
      </c>
      <c r="C240" s="2" t="s">
        <v>2401</v>
      </c>
      <c r="D240" s="18">
        <v>1258542188087990</v>
      </c>
      <c r="E240" s="2" t="s">
        <v>1713</v>
      </c>
      <c r="F240" s="2" t="s">
        <v>1691</v>
      </c>
      <c r="G240" t="b">
        <f t="shared" si="6"/>
        <v>1</v>
      </c>
      <c r="H240" t="str">
        <f t="shared" si="7"/>
        <v>Bangalore</v>
      </c>
    </row>
    <row r="241" spans="1:8" x14ac:dyDescent="0.4">
      <c r="A241" s="2" t="s">
        <v>2402</v>
      </c>
      <c r="B241" s="2" t="s">
        <v>2403</v>
      </c>
      <c r="C241" s="2" t="s">
        <v>1720</v>
      </c>
      <c r="D241" s="18">
        <v>196234199643385</v>
      </c>
      <c r="E241" s="2" t="s">
        <v>1739</v>
      </c>
      <c r="F241" s="2" t="s">
        <v>1691</v>
      </c>
      <c r="G241" t="b">
        <f t="shared" si="6"/>
        <v>0</v>
      </c>
      <c r="H241" t="str">
        <f t="shared" si="7"/>
        <v>Chennai</v>
      </c>
    </row>
    <row r="242" spans="1:8" x14ac:dyDescent="0.4">
      <c r="A242" s="2" t="s">
        <v>2404</v>
      </c>
      <c r="B242" s="2" t="s">
        <v>2405</v>
      </c>
      <c r="C242" s="2" t="s">
        <v>2406</v>
      </c>
      <c r="D242" s="18">
        <v>2472505833</v>
      </c>
      <c r="E242" s="2" t="s">
        <v>1713</v>
      </c>
      <c r="F242" s="2" t="s">
        <v>1691</v>
      </c>
      <c r="G242" t="b">
        <f t="shared" si="6"/>
        <v>1</v>
      </c>
      <c r="H242" t="str">
        <f t="shared" si="7"/>
        <v>Bangalore</v>
      </c>
    </row>
    <row r="243" spans="1:8" x14ac:dyDescent="0.4">
      <c r="A243" s="2" t="s">
        <v>2407</v>
      </c>
      <c r="B243" s="2" t="s">
        <v>2408</v>
      </c>
      <c r="C243" s="2" t="s">
        <v>2409</v>
      </c>
      <c r="D243" s="18">
        <v>4303115876</v>
      </c>
      <c r="E243" s="2" t="s">
        <v>1698</v>
      </c>
      <c r="F243" s="2" t="s">
        <v>1691</v>
      </c>
      <c r="G243" t="b">
        <f t="shared" si="6"/>
        <v>1</v>
      </c>
      <c r="H243" t="str">
        <f t="shared" si="7"/>
        <v>Delhi</v>
      </c>
    </row>
    <row r="244" spans="1:8" x14ac:dyDescent="0.4">
      <c r="A244" s="2" t="s">
        <v>2410</v>
      </c>
      <c r="B244" s="2" t="s">
        <v>2411</v>
      </c>
      <c r="C244" s="2" t="s">
        <v>2412</v>
      </c>
      <c r="D244" s="18" t="s">
        <v>2413</v>
      </c>
      <c r="E244" s="2" t="s">
        <v>1685</v>
      </c>
      <c r="F244" s="2" t="s">
        <v>1699</v>
      </c>
      <c r="G244" t="b">
        <f t="shared" si="6"/>
        <v>1</v>
      </c>
      <c r="H244" t="str">
        <f t="shared" si="7"/>
        <v>Kolkata</v>
      </c>
    </row>
    <row r="245" spans="1:8" x14ac:dyDescent="0.4">
      <c r="A245" s="2" t="s">
        <v>2414</v>
      </c>
      <c r="B245" s="2" t="s">
        <v>2415</v>
      </c>
      <c r="C245" s="2" t="s">
        <v>2416</v>
      </c>
      <c r="D245" s="18" t="s">
        <v>3791</v>
      </c>
      <c r="E245" s="2" t="s">
        <v>1703</v>
      </c>
      <c r="F245" s="2" t="s">
        <v>1717</v>
      </c>
      <c r="G245" t="b">
        <f t="shared" si="6"/>
        <v>1</v>
      </c>
      <c r="H245" t="str">
        <f t="shared" si="7"/>
        <v>Mumbai</v>
      </c>
    </row>
    <row r="246" spans="1:8" x14ac:dyDescent="0.4">
      <c r="A246" s="2" t="s">
        <v>2417</v>
      </c>
      <c r="B246" s="2" t="s">
        <v>2418</v>
      </c>
      <c r="C246" s="2" t="s">
        <v>2419</v>
      </c>
      <c r="D246" s="18">
        <v>1861634212545080</v>
      </c>
      <c r="E246" s="2" t="s">
        <v>1739</v>
      </c>
      <c r="F246" s="2" t="s">
        <v>1686</v>
      </c>
      <c r="G246" t="b">
        <f t="shared" si="6"/>
        <v>1</v>
      </c>
      <c r="H246" t="str">
        <f t="shared" si="7"/>
        <v>Chennai</v>
      </c>
    </row>
    <row r="247" spans="1:8" x14ac:dyDescent="0.4">
      <c r="A247" s="2" t="s">
        <v>2420</v>
      </c>
      <c r="B247" s="2" t="s">
        <v>2421</v>
      </c>
      <c r="C247" s="2" t="s">
        <v>2422</v>
      </c>
      <c r="D247" s="18">
        <v>15948152692</v>
      </c>
      <c r="E247" s="2" t="s">
        <v>1685</v>
      </c>
      <c r="F247" s="2" t="s">
        <v>1699</v>
      </c>
      <c r="G247" t="b">
        <f t="shared" si="6"/>
        <v>1</v>
      </c>
      <c r="H247" t="str">
        <f t="shared" si="7"/>
        <v>Kolkata</v>
      </c>
    </row>
    <row r="248" spans="1:8" x14ac:dyDescent="0.4">
      <c r="A248" s="2" t="s">
        <v>2423</v>
      </c>
      <c r="B248" s="2" t="s">
        <v>2424</v>
      </c>
      <c r="C248" s="2" t="s">
        <v>2425</v>
      </c>
      <c r="D248" s="18">
        <v>596647213074235</v>
      </c>
      <c r="E248" s="2" t="s">
        <v>1713</v>
      </c>
      <c r="F248" s="2" t="s">
        <v>1686</v>
      </c>
      <c r="G248" t="b">
        <f t="shared" si="6"/>
        <v>1</v>
      </c>
      <c r="H248" t="str">
        <f t="shared" si="7"/>
        <v>Bangalore</v>
      </c>
    </row>
    <row r="249" spans="1:8" x14ac:dyDescent="0.4">
      <c r="A249" s="2" t="s">
        <v>2426</v>
      </c>
      <c r="B249" s="2" t="s">
        <v>2427</v>
      </c>
      <c r="C249" s="2" t="s">
        <v>2428</v>
      </c>
      <c r="D249" s="18">
        <v>1914261404893320</v>
      </c>
      <c r="E249" s="2" t="s">
        <v>1698</v>
      </c>
      <c r="F249" s="2" t="s">
        <v>1691</v>
      </c>
      <c r="G249" t="b">
        <f t="shared" si="6"/>
        <v>1</v>
      </c>
      <c r="H249" t="str">
        <f t="shared" si="7"/>
        <v>Delhi</v>
      </c>
    </row>
    <row r="250" spans="1:8" x14ac:dyDescent="0.4">
      <c r="A250" s="2" t="s">
        <v>2429</v>
      </c>
      <c r="B250" s="2" t="s">
        <v>2430</v>
      </c>
      <c r="C250" s="2" t="s">
        <v>2431</v>
      </c>
      <c r="D250" s="18">
        <v>4543079637</v>
      </c>
      <c r="E250" s="2" t="s">
        <v>1685</v>
      </c>
      <c r="F250" s="2" t="s">
        <v>1717</v>
      </c>
      <c r="G250" t="b">
        <f t="shared" si="6"/>
        <v>1</v>
      </c>
      <c r="H250" t="str">
        <f t="shared" si="7"/>
        <v>Kolkata</v>
      </c>
    </row>
    <row r="251" spans="1:8" x14ac:dyDescent="0.4">
      <c r="A251" s="2" t="s">
        <v>2432</v>
      </c>
      <c r="B251" s="2" t="s">
        <v>2433</v>
      </c>
      <c r="C251" s="2" t="s">
        <v>2434</v>
      </c>
      <c r="D251" s="18">
        <v>1008178522</v>
      </c>
      <c r="E251" s="2" t="s">
        <v>1730</v>
      </c>
      <c r="F251" s="2" t="s">
        <v>1699</v>
      </c>
      <c r="G251" t="b">
        <f t="shared" si="6"/>
        <v>1</v>
      </c>
      <c r="H251" t="str">
        <f t="shared" si="7"/>
        <v>Pune</v>
      </c>
    </row>
    <row r="252" spans="1:8" x14ac:dyDescent="0.4">
      <c r="A252" s="2" t="s">
        <v>2435</v>
      </c>
      <c r="B252" s="2" t="s">
        <v>2436</v>
      </c>
      <c r="C252" s="2" t="s">
        <v>2437</v>
      </c>
      <c r="D252" s="18">
        <v>1587184523</v>
      </c>
      <c r="E252" s="2" t="s">
        <v>1703</v>
      </c>
      <c r="F252" s="2" t="s">
        <v>1686</v>
      </c>
      <c r="G252" t="b">
        <f t="shared" si="6"/>
        <v>1</v>
      </c>
      <c r="H252" t="str">
        <f t="shared" si="7"/>
        <v>Mumbai</v>
      </c>
    </row>
    <row r="253" spans="1:8" x14ac:dyDescent="0.4">
      <c r="A253" s="2" t="s">
        <v>2438</v>
      </c>
      <c r="B253" s="2" t="s">
        <v>2439</v>
      </c>
      <c r="C253" s="2" t="s">
        <v>2440</v>
      </c>
      <c r="D253" s="18" t="s">
        <v>3792</v>
      </c>
      <c r="E253" s="2" t="s">
        <v>1713</v>
      </c>
      <c r="F253" s="2" t="s">
        <v>1686</v>
      </c>
      <c r="G253" t="b">
        <f t="shared" si="6"/>
        <v>1</v>
      </c>
      <c r="H253" t="str">
        <f t="shared" si="7"/>
        <v>Bangalore</v>
      </c>
    </row>
    <row r="254" spans="1:8" x14ac:dyDescent="0.4">
      <c r="A254" s="2" t="s">
        <v>2441</v>
      </c>
      <c r="B254" s="2" t="s">
        <v>2442</v>
      </c>
      <c r="C254" s="2" t="s">
        <v>2443</v>
      </c>
      <c r="D254" s="18">
        <v>108652377729665</v>
      </c>
      <c r="E254" s="2" t="s">
        <v>1685</v>
      </c>
      <c r="F254" s="2" t="s">
        <v>1699</v>
      </c>
      <c r="G254" t="b">
        <f t="shared" si="6"/>
        <v>1</v>
      </c>
      <c r="H254" t="str">
        <f t="shared" si="7"/>
        <v>Kolkata</v>
      </c>
    </row>
    <row r="255" spans="1:8" x14ac:dyDescent="0.4">
      <c r="A255" s="2" t="s">
        <v>2444</v>
      </c>
      <c r="B255" s="2" t="s">
        <v>2445</v>
      </c>
      <c r="C255" s="2" t="s">
        <v>2446</v>
      </c>
      <c r="D255" s="18" t="s">
        <v>3793</v>
      </c>
      <c r="E255" s="2" t="s">
        <v>1690</v>
      </c>
      <c r="F255" s="2" t="s">
        <v>1686</v>
      </c>
      <c r="G255" t="b">
        <f t="shared" si="6"/>
        <v>1</v>
      </c>
      <c r="H255" t="str">
        <f t="shared" si="7"/>
        <v>Hyderabad</v>
      </c>
    </row>
    <row r="256" spans="1:8" x14ac:dyDescent="0.4">
      <c r="A256" s="2" t="s">
        <v>2447</v>
      </c>
      <c r="B256" s="2" t="s">
        <v>2448</v>
      </c>
      <c r="C256" s="2" t="s">
        <v>2449</v>
      </c>
      <c r="D256" s="18">
        <v>800027221425731</v>
      </c>
      <c r="E256" s="2" t="s">
        <v>1703</v>
      </c>
      <c r="F256" s="2" t="s">
        <v>1686</v>
      </c>
      <c r="G256" t="b">
        <f t="shared" si="6"/>
        <v>1</v>
      </c>
      <c r="H256" t="str">
        <f t="shared" si="7"/>
        <v>Mumbai</v>
      </c>
    </row>
    <row r="257" spans="1:8" x14ac:dyDescent="0.4">
      <c r="A257" s="2" t="s">
        <v>2450</v>
      </c>
      <c r="B257" s="2" t="s">
        <v>2451</v>
      </c>
      <c r="C257" s="2" t="s">
        <v>2452</v>
      </c>
      <c r="D257" s="18" t="s">
        <v>3794</v>
      </c>
      <c r="E257" s="2" t="s">
        <v>1730</v>
      </c>
      <c r="F257" s="2" t="s">
        <v>1699</v>
      </c>
      <c r="G257" t="b">
        <f t="shared" si="6"/>
        <v>1</v>
      </c>
      <c r="H257" t="str">
        <f t="shared" si="7"/>
        <v>Pune</v>
      </c>
    </row>
    <row r="258" spans="1:8" x14ac:dyDescent="0.4">
      <c r="A258" s="2" t="s">
        <v>2453</v>
      </c>
      <c r="B258" s="2" t="s">
        <v>2454</v>
      </c>
      <c r="C258" s="2" t="s">
        <v>2455</v>
      </c>
      <c r="D258" s="18">
        <v>6955286209</v>
      </c>
      <c r="E258" s="2" t="s">
        <v>1685</v>
      </c>
      <c r="F258" s="2" t="s">
        <v>1717</v>
      </c>
      <c r="G258" t="b">
        <f t="shared" ref="G258:G321" si="8">ISNUMBER(SEARCH("@",C258))</f>
        <v>1</v>
      </c>
      <c r="H258" t="str">
        <f t="shared" si="7"/>
        <v>Kolkata</v>
      </c>
    </row>
    <row r="259" spans="1:8" x14ac:dyDescent="0.4">
      <c r="A259" s="2" t="s">
        <v>2456</v>
      </c>
      <c r="B259" s="2" t="s">
        <v>2457</v>
      </c>
      <c r="C259" s="2" t="s">
        <v>2458</v>
      </c>
      <c r="D259" s="18">
        <v>129735259533222</v>
      </c>
      <c r="E259" s="2" t="s">
        <v>1739</v>
      </c>
      <c r="F259" s="2" t="s">
        <v>1699</v>
      </c>
      <c r="G259" t="b">
        <f t="shared" si="8"/>
        <v>1</v>
      </c>
      <c r="H259" t="str">
        <f t="shared" ref="H259:H322" si="9">PROPER(E259)</f>
        <v>Chennai</v>
      </c>
    </row>
    <row r="260" spans="1:8" x14ac:dyDescent="0.4">
      <c r="A260" s="2" t="s">
        <v>2459</v>
      </c>
      <c r="B260" s="2" t="s">
        <v>2460</v>
      </c>
      <c r="C260" s="2" t="s">
        <v>2461</v>
      </c>
      <c r="D260" s="18">
        <v>173938992045735</v>
      </c>
      <c r="E260" s="2" t="s">
        <v>1739</v>
      </c>
      <c r="F260" s="2" t="s">
        <v>1699</v>
      </c>
      <c r="G260" t="b">
        <f t="shared" si="8"/>
        <v>1</v>
      </c>
      <c r="H260" t="str">
        <f t="shared" si="9"/>
        <v>Chennai</v>
      </c>
    </row>
    <row r="261" spans="1:8" x14ac:dyDescent="0.4">
      <c r="A261" s="2" t="s">
        <v>2462</v>
      </c>
      <c r="B261" s="2" t="s">
        <v>2463</v>
      </c>
      <c r="C261" s="2" t="s">
        <v>2464</v>
      </c>
      <c r="D261" s="18">
        <v>2366185076</v>
      </c>
      <c r="E261" s="2" t="s">
        <v>1730</v>
      </c>
      <c r="F261" s="2" t="s">
        <v>1717</v>
      </c>
      <c r="G261" t="b">
        <f t="shared" si="8"/>
        <v>1</v>
      </c>
      <c r="H261" t="str">
        <f t="shared" si="9"/>
        <v>Pune</v>
      </c>
    </row>
    <row r="262" spans="1:8" x14ac:dyDescent="0.4">
      <c r="A262" s="2" t="s">
        <v>2465</v>
      </c>
      <c r="B262" s="2" t="s">
        <v>2466</v>
      </c>
      <c r="C262" s="2" t="s">
        <v>2467</v>
      </c>
      <c r="D262" s="18">
        <v>870826971</v>
      </c>
      <c r="E262" s="2" t="s">
        <v>1685</v>
      </c>
      <c r="F262" s="2" t="s">
        <v>1686</v>
      </c>
      <c r="G262" t="b">
        <f t="shared" si="8"/>
        <v>1</v>
      </c>
      <c r="H262" t="str">
        <f t="shared" si="9"/>
        <v>Kolkata</v>
      </c>
    </row>
    <row r="263" spans="1:8" x14ac:dyDescent="0.4">
      <c r="A263" s="2" t="s">
        <v>2468</v>
      </c>
      <c r="B263" s="2" t="s">
        <v>2469</v>
      </c>
      <c r="C263" s="2" t="s">
        <v>1720</v>
      </c>
      <c r="D263" s="18">
        <v>1823601071261580</v>
      </c>
      <c r="E263" s="2" t="s">
        <v>1698</v>
      </c>
      <c r="F263" s="2" t="s">
        <v>1699</v>
      </c>
      <c r="G263" t="b">
        <f t="shared" si="8"/>
        <v>0</v>
      </c>
      <c r="H263" t="str">
        <f t="shared" si="9"/>
        <v>Delhi</v>
      </c>
    </row>
    <row r="264" spans="1:8" x14ac:dyDescent="0.4">
      <c r="A264" s="2" t="s">
        <v>2470</v>
      </c>
      <c r="B264" s="2" t="s">
        <v>787</v>
      </c>
      <c r="C264" s="2" t="s">
        <v>2471</v>
      </c>
      <c r="D264" s="18">
        <v>18217648467</v>
      </c>
      <c r="E264" s="2" t="s">
        <v>1739</v>
      </c>
      <c r="F264" s="2" t="s">
        <v>1686</v>
      </c>
      <c r="G264" t="b">
        <f t="shared" si="8"/>
        <v>1</v>
      </c>
      <c r="H264" t="str">
        <f t="shared" si="9"/>
        <v>Chennai</v>
      </c>
    </row>
    <row r="265" spans="1:8" x14ac:dyDescent="0.4">
      <c r="A265" s="2" t="s">
        <v>2472</v>
      </c>
      <c r="B265" s="2" t="s">
        <v>2473</v>
      </c>
      <c r="C265" s="2" t="s">
        <v>2474</v>
      </c>
      <c r="D265" s="18">
        <v>5742233222</v>
      </c>
      <c r="E265" s="2" t="s">
        <v>1739</v>
      </c>
      <c r="F265" s="2" t="s">
        <v>1686</v>
      </c>
      <c r="G265" t="b">
        <f t="shared" si="8"/>
        <v>1</v>
      </c>
      <c r="H265" t="str">
        <f t="shared" si="9"/>
        <v>Chennai</v>
      </c>
    </row>
    <row r="266" spans="1:8" x14ac:dyDescent="0.4">
      <c r="A266" s="2" t="s">
        <v>2475</v>
      </c>
      <c r="B266" s="2" t="s">
        <v>2476</v>
      </c>
      <c r="C266" s="2" t="s">
        <v>2477</v>
      </c>
      <c r="D266" s="18">
        <v>18019442589222</v>
      </c>
      <c r="E266" s="2" t="s">
        <v>1730</v>
      </c>
      <c r="F266" s="2" t="s">
        <v>1686</v>
      </c>
      <c r="G266" t="b">
        <f t="shared" si="8"/>
        <v>1</v>
      </c>
      <c r="H266" t="str">
        <f t="shared" si="9"/>
        <v>Pune</v>
      </c>
    </row>
    <row r="267" spans="1:8" x14ac:dyDescent="0.4">
      <c r="A267" s="2" t="s">
        <v>2478</v>
      </c>
      <c r="B267" s="2" t="s">
        <v>2479</v>
      </c>
      <c r="C267" s="2" t="s">
        <v>2480</v>
      </c>
      <c r="D267" s="18">
        <v>156062953506373</v>
      </c>
      <c r="E267" s="2" t="s">
        <v>1690</v>
      </c>
      <c r="F267" s="2" t="s">
        <v>1699</v>
      </c>
      <c r="G267" t="b">
        <f t="shared" si="8"/>
        <v>1</v>
      </c>
      <c r="H267" t="str">
        <f t="shared" si="9"/>
        <v>Hyderabad</v>
      </c>
    </row>
    <row r="268" spans="1:8" x14ac:dyDescent="0.4">
      <c r="A268" s="2" t="s">
        <v>2481</v>
      </c>
      <c r="B268" s="2" t="s">
        <v>2482</v>
      </c>
      <c r="C268" s="2" t="s">
        <v>2483</v>
      </c>
      <c r="D268" s="18">
        <v>1804674130</v>
      </c>
      <c r="E268" s="2" t="s">
        <v>1698</v>
      </c>
      <c r="F268" s="2" t="s">
        <v>1717</v>
      </c>
      <c r="G268" t="b">
        <f t="shared" si="8"/>
        <v>1</v>
      </c>
      <c r="H268" t="str">
        <f t="shared" si="9"/>
        <v>Delhi</v>
      </c>
    </row>
    <row r="269" spans="1:8" x14ac:dyDescent="0.4">
      <c r="A269" s="2" t="s">
        <v>2484</v>
      </c>
      <c r="B269" s="2" t="s">
        <v>2485</v>
      </c>
      <c r="C269" s="2" t="s">
        <v>2486</v>
      </c>
      <c r="D269" s="18">
        <v>53841852013626</v>
      </c>
      <c r="E269" s="2" t="s">
        <v>1730</v>
      </c>
      <c r="F269" s="2" t="s">
        <v>1691</v>
      </c>
      <c r="G269" t="b">
        <f t="shared" si="8"/>
        <v>1</v>
      </c>
      <c r="H269" t="str">
        <f t="shared" si="9"/>
        <v>Pune</v>
      </c>
    </row>
    <row r="270" spans="1:8" x14ac:dyDescent="0.4">
      <c r="A270" s="2" t="s">
        <v>2487</v>
      </c>
      <c r="B270" s="2" t="s">
        <v>2488</v>
      </c>
      <c r="C270" s="2" t="s">
        <v>2489</v>
      </c>
      <c r="D270" s="18">
        <v>1084639756154700</v>
      </c>
      <c r="E270" s="2" t="s">
        <v>1685</v>
      </c>
      <c r="F270" s="2" t="s">
        <v>1717</v>
      </c>
      <c r="G270" t="b">
        <f t="shared" si="8"/>
        <v>1</v>
      </c>
      <c r="H270" t="str">
        <f t="shared" si="9"/>
        <v>Kolkata</v>
      </c>
    </row>
    <row r="271" spans="1:8" x14ac:dyDescent="0.4">
      <c r="A271" s="2" t="s">
        <v>2490</v>
      </c>
      <c r="B271" s="2" t="s">
        <v>2491</v>
      </c>
      <c r="C271" s="2" t="s">
        <v>2492</v>
      </c>
      <c r="D271" s="18">
        <v>491215164119556</v>
      </c>
      <c r="E271" s="2" t="s">
        <v>1685</v>
      </c>
      <c r="F271" s="2" t="s">
        <v>1699</v>
      </c>
      <c r="G271" t="b">
        <f t="shared" si="8"/>
        <v>1</v>
      </c>
      <c r="H271" t="str">
        <f t="shared" si="9"/>
        <v>Kolkata</v>
      </c>
    </row>
    <row r="272" spans="1:8" x14ac:dyDescent="0.4">
      <c r="A272" s="2" t="s">
        <v>2493</v>
      </c>
      <c r="B272" s="2" t="s">
        <v>2494</v>
      </c>
      <c r="C272" s="2" t="s">
        <v>2495</v>
      </c>
      <c r="D272" s="18">
        <v>919693957875</v>
      </c>
      <c r="E272" s="2" t="s">
        <v>1685</v>
      </c>
      <c r="F272" s="2" t="s">
        <v>1717</v>
      </c>
      <c r="G272" t="b">
        <f t="shared" si="8"/>
        <v>1</v>
      </c>
      <c r="H272" t="str">
        <f t="shared" si="9"/>
        <v>Kolkata</v>
      </c>
    </row>
    <row r="273" spans="1:8" x14ac:dyDescent="0.4">
      <c r="A273" s="2" t="s">
        <v>2496</v>
      </c>
      <c r="B273" s="2" t="s">
        <v>2497</v>
      </c>
      <c r="C273" s="2" t="s">
        <v>2498</v>
      </c>
      <c r="D273" s="18" t="s">
        <v>3795</v>
      </c>
      <c r="E273" s="2" t="s">
        <v>1739</v>
      </c>
      <c r="F273" s="2" t="s">
        <v>1691</v>
      </c>
      <c r="G273" t="b">
        <f t="shared" si="8"/>
        <v>1</v>
      </c>
      <c r="H273" t="str">
        <f t="shared" si="9"/>
        <v>Chennai</v>
      </c>
    </row>
    <row r="274" spans="1:8" x14ac:dyDescent="0.4">
      <c r="A274" s="2" t="s">
        <v>2499</v>
      </c>
      <c r="B274" s="2" t="s">
        <v>2500</v>
      </c>
      <c r="C274" s="2" t="s">
        <v>2501</v>
      </c>
      <c r="D274" s="18">
        <v>9712124139</v>
      </c>
      <c r="E274" s="2" t="s">
        <v>1713</v>
      </c>
      <c r="F274" s="2" t="s">
        <v>1717</v>
      </c>
      <c r="G274" t="b">
        <f t="shared" si="8"/>
        <v>1</v>
      </c>
      <c r="H274" t="str">
        <f t="shared" si="9"/>
        <v>Bangalore</v>
      </c>
    </row>
    <row r="275" spans="1:8" x14ac:dyDescent="0.4">
      <c r="A275" s="2" t="s">
        <v>2502</v>
      </c>
      <c r="B275" s="2" t="s">
        <v>2503</v>
      </c>
      <c r="C275" s="2" t="s">
        <v>2504</v>
      </c>
      <c r="D275" s="18">
        <v>6967897609</v>
      </c>
      <c r="E275" s="2" t="s">
        <v>1739</v>
      </c>
      <c r="F275" s="2" t="s">
        <v>1699</v>
      </c>
      <c r="G275" t="b">
        <f t="shared" si="8"/>
        <v>1</v>
      </c>
      <c r="H275" t="str">
        <f t="shared" si="9"/>
        <v>Chennai</v>
      </c>
    </row>
    <row r="276" spans="1:8" x14ac:dyDescent="0.4">
      <c r="A276" s="2" t="s">
        <v>2505</v>
      </c>
      <c r="B276" s="2" t="s">
        <v>2506</v>
      </c>
      <c r="C276" s="2" t="s">
        <v>2507</v>
      </c>
      <c r="D276" s="18">
        <v>731267731922760</v>
      </c>
      <c r="E276" s="2" t="s">
        <v>1739</v>
      </c>
      <c r="F276" s="2" t="s">
        <v>1686</v>
      </c>
      <c r="G276" t="b">
        <f t="shared" si="8"/>
        <v>1</v>
      </c>
      <c r="H276" t="str">
        <f t="shared" si="9"/>
        <v>Chennai</v>
      </c>
    </row>
    <row r="277" spans="1:8" x14ac:dyDescent="0.4">
      <c r="A277" s="2" t="s">
        <v>2508</v>
      </c>
      <c r="B277" s="2" t="s">
        <v>2509</v>
      </c>
      <c r="C277" s="2" t="s">
        <v>2510</v>
      </c>
      <c r="D277" s="18">
        <v>5988978653394</v>
      </c>
      <c r="E277" s="2" t="s">
        <v>1703</v>
      </c>
      <c r="F277" s="2" t="s">
        <v>1691</v>
      </c>
      <c r="G277" t="b">
        <f t="shared" si="8"/>
        <v>1</v>
      </c>
      <c r="H277" t="str">
        <f t="shared" si="9"/>
        <v>Mumbai</v>
      </c>
    </row>
    <row r="278" spans="1:8" x14ac:dyDescent="0.4">
      <c r="A278" s="2" t="s">
        <v>2511</v>
      </c>
      <c r="B278" s="2" t="s">
        <v>2512</v>
      </c>
      <c r="C278" s="2" t="s">
        <v>1720</v>
      </c>
      <c r="D278" s="18">
        <v>1916543089</v>
      </c>
      <c r="E278" s="2" t="s">
        <v>1690</v>
      </c>
      <c r="F278" s="2" t="s">
        <v>1717</v>
      </c>
      <c r="G278" t="b">
        <f t="shared" si="8"/>
        <v>0</v>
      </c>
      <c r="H278" t="str">
        <f t="shared" si="9"/>
        <v>Hyderabad</v>
      </c>
    </row>
    <row r="279" spans="1:8" x14ac:dyDescent="0.4">
      <c r="A279" s="2" t="s">
        <v>2513</v>
      </c>
      <c r="B279" s="2" t="s">
        <v>2514</v>
      </c>
      <c r="C279" s="2" t="s">
        <v>2515</v>
      </c>
      <c r="D279" s="18">
        <v>152312021915057</v>
      </c>
      <c r="E279" s="2" t="s">
        <v>1690</v>
      </c>
      <c r="F279" s="2" t="s">
        <v>1699</v>
      </c>
      <c r="G279" t="b">
        <f t="shared" si="8"/>
        <v>1</v>
      </c>
      <c r="H279" t="str">
        <f t="shared" si="9"/>
        <v>Hyderabad</v>
      </c>
    </row>
    <row r="280" spans="1:8" x14ac:dyDescent="0.4">
      <c r="A280" s="2" t="s">
        <v>2516</v>
      </c>
      <c r="B280" s="2" t="s">
        <v>2517</v>
      </c>
      <c r="C280" s="2" t="s">
        <v>2518</v>
      </c>
      <c r="D280" s="18" t="s">
        <v>3796</v>
      </c>
      <c r="E280" s="2" t="s">
        <v>1690</v>
      </c>
      <c r="F280" s="2" t="s">
        <v>1691</v>
      </c>
      <c r="G280" t="b">
        <f t="shared" si="8"/>
        <v>1</v>
      </c>
      <c r="H280" t="str">
        <f t="shared" si="9"/>
        <v>Hyderabad</v>
      </c>
    </row>
    <row r="281" spans="1:8" x14ac:dyDescent="0.4">
      <c r="A281" s="2" t="s">
        <v>2519</v>
      </c>
      <c r="B281" s="2" t="s">
        <v>2520</v>
      </c>
      <c r="C281" s="2" t="s">
        <v>2521</v>
      </c>
      <c r="D281" s="18">
        <v>48676497974163</v>
      </c>
      <c r="E281" s="2" t="s">
        <v>1685</v>
      </c>
      <c r="F281" s="2" t="s">
        <v>1691</v>
      </c>
      <c r="G281" t="b">
        <f t="shared" si="8"/>
        <v>1</v>
      </c>
      <c r="H281" t="str">
        <f t="shared" si="9"/>
        <v>Kolkata</v>
      </c>
    </row>
    <row r="282" spans="1:8" x14ac:dyDescent="0.4">
      <c r="A282" s="2" t="s">
        <v>2522</v>
      </c>
      <c r="B282" s="2" t="s">
        <v>2523</v>
      </c>
      <c r="C282" s="2" t="s">
        <v>2524</v>
      </c>
      <c r="D282" s="18" t="s">
        <v>3797</v>
      </c>
      <c r="E282" s="2" t="s">
        <v>1739</v>
      </c>
      <c r="F282" s="2" t="s">
        <v>1717</v>
      </c>
      <c r="G282" t="b">
        <f t="shared" si="8"/>
        <v>1</v>
      </c>
      <c r="H282" t="str">
        <f t="shared" si="9"/>
        <v>Chennai</v>
      </c>
    </row>
    <row r="283" spans="1:8" x14ac:dyDescent="0.4">
      <c r="A283" s="2" t="s">
        <v>2525</v>
      </c>
      <c r="B283" s="2" t="s">
        <v>2526</v>
      </c>
      <c r="C283" s="2" t="s">
        <v>2527</v>
      </c>
      <c r="D283" s="18" t="s">
        <v>2528</v>
      </c>
      <c r="E283" s="2" t="s">
        <v>1713</v>
      </c>
      <c r="F283" s="2" t="s">
        <v>1699</v>
      </c>
      <c r="G283" t="b">
        <f t="shared" si="8"/>
        <v>1</v>
      </c>
      <c r="H283" t="str">
        <f t="shared" si="9"/>
        <v>Bangalore</v>
      </c>
    </row>
    <row r="284" spans="1:8" x14ac:dyDescent="0.4">
      <c r="A284" s="2" t="s">
        <v>2529</v>
      </c>
      <c r="B284" s="2" t="s">
        <v>2530</v>
      </c>
      <c r="C284" s="2" t="s">
        <v>2531</v>
      </c>
      <c r="D284" s="18">
        <v>9529635305</v>
      </c>
      <c r="E284" s="2" t="s">
        <v>1730</v>
      </c>
      <c r="F284" s="2" t="s">
        <v>1699</v>
      </c>
      <c r="G284" t="b">
        <f t="shared" si="8"/>
        <v>1</v>
      </c>
      <c r="H284" t="str">
        <f t="shared" si="9"/>
        <v>Pune</v>
      </c>
    </row>
    <row r="285" spans="1:8" x14ac:dyDescent="0.4">
      <c r="A285" s="2" t="s">
        <v>2532</v>
      </c>
      <c r="B285" s="2" t="s">
        <v>2533</v>
      </c>
      <c r="C285" s="2" t="s">
        <v>2534</v>
      </c>
      <c r="D285" s="18">
        <v>17025512827</v>
      </c>
      <c r="E285" s="2" t="s">
        <v>1703</v>
      </c>
      <c r="F285" s="2" t="s">
        <v>1691</v>
      </c>
      <c r="G285" t="b">
        <f t="shared" si="8"/>
        <v>1</v>
      </c>
      <c r="H285" t="str">
        <f t="shared" si="9"/>
        <v>Mumbai</v>
      </c>
    </row>
    <row r="286" spans="1:8" x14ac:dyDescent="0.4">
      <c r="A286" s="2" t="s">
        <v>2535</v>
      </c>
      <c r="B286" s="2" t="s">
        <v>2536</v>
      </c>
      <c r="C286" s="2" t="s">
        <v>1720</v>
      </c>
      <c r="D286" s="18" t="s">
        <v>3798</v>
      </c>
      <c r="E286" s="2" t="s">
        <v>1703</v>
      </c>
      <c r="F286" s="2" t="s">
        <v>1691</v>
      </c>
      <c r="G286" t="b">
        <f t="shared" si="8"/>
        <v>0</v>
      </c>
      <c r="H286" t="str">
        <f t="shared" si="9"/>
        <v>Mumbai</v>
      </c>
    </row>
    <row r="287" spans="1:8" x14ac:dyDescent="0.4">
      <c r="A287" s="2" t="s">
        <v>2537</v>
      </c>
      <c r="B287" s="2" t="s">
        <v>2538</v>
      </c>
      <c r="C287" s="2" t="s">
        <v>2539</v>
      </c>
      <c r="D287" s="18" t="s">
        <v>3799</v>
      </c>
      <c r="E287" s="2" t="s">
        <v>1739</v>
      </c>
      <c r="F287" s="2" t="s">
        <v>1686</v>
      </c>
      <c r="G287" t="b">
        <f t="shared" si="8"/>
        <v>1</v>
      </c>
      <c r="H287" t="str">
        <f t="shared" si="9"/>
        <v>Chennai</v>
      </c>
    </row>
    <row r="288" spans="1:8" x14ac:dyDescent="0.4">
      <c r="A288" s="2" t="s">
        <v>2540</v>
      </c>
      <c r="B288" s="2" t="s">
        <v>2541</v>
      </c>
      <c r="C288" s="2" t="s">
        <v>2542</v>
      </c>
      <c r="D288" s="18">
        <v>11699939344974</v>
      </c>
      <c r="E288" s="2" t="s">
        <v>1713</v>
      </c>
      <c r="F288" s="2" t="s">
        <v>1717</v>
      </c>
      <c r="G288" t="b">
        <f t="shared" si="8"/>
        <v>1</v>
      </c>
      <c r="H288" t="str">
        <f t="shared" si="9"/>
        <v>Bangalore</v>
      </c>
    </row>
    <row r="289" spans="1:8" x14ac:dyDescent="0.4">
      <c r="A289" s="2" t="s">
        <v>2543</v>
      </c>
      <c r="B289" s="2" t="s">
        <v>2544</v>
      </c>
      <c r="C289" s="2" t="s">
        <v>2545</v>
      </c>
      <c r="D289" s="18">
        <v>9464088223</v>
      </c>
      <c r="E289" s="2" t="s">
        <v>1698</v>
      </c>
      <c r="F289" s="2" t="s">
        <v>1686</v>
      </c>
      <c r="G289" t="b">
        <f t="shared" si="8"/>
        <v>1</v>
      </c>
      <c r="H289" t="str">
        <f t="shared" si="9"/>
        <v>Delhi</v>
      </c>
    </row>
    <row r="290" spans="1:8" x14ac:dyDescent="0.4">
      <c r="A290" s="2" t="s">
        <v>2546</v>
      </c>
      <c r="B290" s="2" t="s">
        <v>2547</v>
      </c>
      <c r="C290" s="2" t="s">
        <v>2548</v>
      </c>
      <c r="D290" s="18" t="s">
        <v>2549</v>
      </c>
      <c r="E290" s="2" t="s">
        <v>1730</v>
      </c>
      <c r="F290" s="2" t="s">
        <v>1691</v>
      </c>
      <c r="G290" t="b">
        <f t="shared" si="8"/>
        <v>1</v>
      </c>
      <c r="H290" t="str">
        <f t="shared" si="9"/>
        <v>Pune</v>
      </c>
    </row>
    <row r="291" spans="1:8" x14ac:dyDescent="0.4">
      <c r="A291" s="2" t="s">
        <v>2550</v>
      </c>
      <c r="B291" s="2" t="s">
        <v>2551</v>
      </c>
      <c r="C291" s="2" t="s">
        <v>2552</v>
      </c>
      <c r="D291" s="18">
        <v>189413210972021</v>
      </c>
      <c r="E291" s="2" t="s">
        <v>1685</v>
      </c>
      <c r="F291" s="2" t="s">
        <v>1691</v>
      </c>
      <c r="G291" t="b">
        <f t="shared" si="8"/>
        <v>1</v>
      </c>
      <c r="H291" t="str">
        <f t="shared" si="9"/>
        <v>Kolkata</v>
      </c>
    </row>
    <row r="292" spans="1:8" x14ac:dyDescent="0.4">
      <c r="A292" s="2" t="s">
        <v>2553</v>
      </c>
      <c r="B292" s="2" t="s">
        <v>2554</v>
      </c>
      <c r="C292" s="2" t="s">
        <v>2555</v>
      </c>
      <c r="D292" s="18">
        <v>7548534655792</v>
      </c>
      <c r="E292" s="2" t="s">
        <v>1685</v>
      </c>
      <c r="F292" s="2" t="s">
        <v>1699</v>
      </c>
      <c r="G292" t="b">
        <f t="shared" si="8"/>
        <v>1</v>
      </c>
      <c r="H292" t="str">
        <f t="shared" si="9"/>
        <v>Kolkata</v>
      </c>
    </row>
    <row r="293" spans="1:8" x14ac:dyDescent="0.4">
      <c r="A293" s="2" t="s">
        <v>2556</v>
      </c>
      <c r="B293" s="2" t="s">
        <v>2557</v>
      </c>
      <c r="C293" s="2" t="s">
        <v>2558</v>
      </c>
      <c r="D293" s="18">
        <v>1203004496461290</v>
      </c>
      <c r="E293" s="2" t="s">
        <v>1685</v>
      </c>
      <c r="F293" s="2" t="s">
        <v>1699</v>
      </c>
      <c r="G293" t="b">
        <f t="shared" si="8"/>
        <v>1</v>
      </c>
      <c r="H293" t="str">
        <f t="shared" si="9"/>
        <v>Kolkata</v>
      </c>
    </row>
    <row r="294" spans="1:8" x14ac:dyDescent="0.4">
      <c r="A294" s="2" t="s">
        <v>2559</v>
      </c>
      <c r="B294" s="2" t="s">
        <v>2560</v>
      </c>
      <c r="C294" s="2" t="s">
        <v>2561</v>
      </c>
      <c r="D294" s="18">
        <v>10025121375</v>
      </c>
      <c r="E294" s="2" t="s">
        <v>1685</v>
      </c>
      <c r="F294" s="2" t="s">
        <v>1686</v>
      </c>
      <c r="G294" t="b">
        <f t="shared" si="8"/>
        <v>1</v>
      </c>
      <c r="H294" t="str">
        <f t="shared" si="9"/>
        <v>Kolkata</v>
      </c>
    </row>
    <row r="295" spans="1:8" x14ac:dyDescent="0.4">
      <c r="A295" s="2" t="s">
        <v>2562</v>
      </c>
      <c r="B295" s="2" t="s">
        <v>2563</v>
      </c>
      <c r="C295" s="2" t="s">
        <v>2564</v>
      </c>
      <c r="D295" s="18" t="s">
        <v>3800</v>
      </c>
      <c r="E295" s="2" t="s">
        <v>1690</v>
      </c>
      <c r="F295" s="2" t="s">
        <v>1691</v>
      </c>
      <c r="G295" t="b">
        <f t="shared" si="8"/>
        <v>1</v>
      </c>
      <c r="H295" t="str">
        <f t="shared" si="9"/>
        <v>Hyderabad</v>
      </c>
    </row>
    <row r="296" spans="1:8" x14ac:dyDescent="0.4">
      <c r="A296" s="2" t="s">
        <v>2565</v>
      </c>
      <c r="B296" s="2" t="s">
        <v>2566</v>
      </c>
      <c r="C296" s="2" t="s">
        <v>2567</v>
      </c>
      <c r="D296" s="18">
        <v>13145843456631</v>
      </c>
      <c r="E296" s="2" t="s">
        <v>1685</v>
      </c>
      <c r="F296" s="2" t="s">
        <v>1717</v>
      </c>
      <c r="G296" t="b">
        <f t="shared" si="8"/>
        <v>1</v>
      </c>
      <c r="H296" t="str">
        <f t="shared" si="9"/>
        <v>Kolkata</v>
      </c>
    </row>
    <row r="297" spans="1:8" x14ac:dyDescent="0.4">
      <c r="A297" s="2" t="s">
        <v>2568</v>
      </c>
      <c r="B297" s="2" t="s">
        <v>2569</v>
      </c>
      <c r="C297" s="2" t="s">
        <v>2570</v>
      </c>
      <c r="D297" s="18">
        <v>3885034236</v>
      </c>
      <c r="E297" s="2" t="s">
        <v>1698</v>
      </c>
      <c r="F297" s="2" t="s">
        <v>1699</v>
      </c>
      <c r="G297" t="b">
        <f t="shared" si="8"/>
        <v>1</v>
      </c>
      <c r="H297" t="str">
        <f t="shared" si="9"/>
        <v>Delhi</v>
      </c>
    </row>
    <row r="298" spans="1:8" x14ac:dyDescent="0.4">
      <c r="A298" s="2" t="s">
        <v>2571</v>
      </c>
      <c r="B298" s="2" t="s">
        <v>2572</v>
      </c>
      <c r="C298" s="2" t="s">
        <v>2573</v>
      </c>
      <c r="D298" s="18" t="s">
        <v>3801</v>
      </c>
      <c r="E298" s="2" t="s">
        <v>1739</v>
      </c>
      <c r="F298" s="2" t="s">
        <v>1699</v>
      </c>
      <c r="G298" t="b">
        <f t="shared" si="8"/>
        <v>1</v>
      </c>
      <c r="H298" t="str">
        <f t="shared" si="9"/>
        <v>Chennai</v>
      </c>
    </row>
    <row r="299" spans="1:8" x14ac:dyDescent="0.4">
      <c r="A299" s="2" t="s">
        <v>2574</v>
      </c>
      <c r="B299" s="2" t="s">
        <v>2575</v>
      </c>
      <c r="C299" s="2" t="s">
        <v>1720</v>
      </c>
      <c r="D299" s="18">
        <v>1043796868</v>
      </c>
      <c r="E299" s="2" t="s">
        <v>1739</v>
      </c>
      <c r="F299" s="2" t="s">
        <v>1691</v>
      </c>
      <c r="G299" t="b">
        <f t="shared" si="8"/>
        <v>0</v>
      </c>
      <c r="H299" t="str">
        <f t="shared" si="9"/>
        <v>Chennai</v>
      </c>
    </row>
    <row r="300" spans="1:8" x14ac:dyDescent="0.4">
      <c r="A300" s="2" t="s">
        <v>2576</v>
      </c>
      <c r="B300" s="2" t="s">
        <v>2577</v>
      </c>
      <c r="C300" s="2" t="s">
        <v>2578</v>
      </c>
      <c r="D300" s="18" t="s">
        <v>2579</v>
      </c>
      <c r="E300" s="2" t="s">
        <v>1739</v>
      </c>
      <c r="F300" s="2" t="s">
        <v>1717</v>
      </c>
      <c r="G300" t="b">
        <f t="shared" si="8"/>
        <v>1</v>
      </c>
      <c r="H300" t="str">
        <f t="shared" si="9"/>
        <v>Chennai</v>
      </c>
    </row>
    <row r="301" spans="1:8" x14ac:dyDescent="0.4">
      <c r="A301" s="2" t="s">
        <v>2580</v>
      </c>
      <c r="B301" s="2" t="s">
        <v>2581</v>
      </c>
      <c r="C301" s="2" t="s">
        <v>2582</v>
      </c>
      <c r="D301" s="18">
        <v>117741743043502</v>
      </c>
      <c r="E301" s="2" t="s">
        <v>1739</v>
      </c>
      <c r="F301" s="2" t="s">
        <v>1686</v>
      </c>
      <c r="G301" t="b">
        <f t="shared" si="8"/>
        <v>1</v>
      </c>
      <c r="H301" t="str">
        <f t="shared" si="9"/>
        <v>Chennai</v>
      </c>
    </row>
    <row r="302" spans="1:8" x14ac:dyDescent="0.4">
      <c r="A302" s="2" t="s">
        <v>2583</v>
      </c>
      <c r="B302" s="2" t="s">
        <v>2584</v>
      </c>
      <c r="C302" s="2" t="s">
        <v>2585</v>
      </c>
      <c r="D302" s="18">
        <v>8502289466</v>
      </c>
      <c r="E302" s="2" t="s">
        <v>1713</v>
      </c>
      <c r="F302" s="2" t="s">
        <v>1717</v>
      </c>
      <c r="G302" t="b">
        <f t="shared" si="8"/>
        <v>1</v>
      </c>
      <c r="H302" t="str">
        <f t="shared" si="9"/>
        <v>Bangalore</v>
      </c>
    </row>
    <row r="303" spans="1:8" x14ac:dyDescent="0.4">
      <c r="A303" s="2" t="s">
        <v>2586</v>
      </c>
      <c r="B303" s="2" t="s">
        <v>2587</v>
      </c>
      <c r="C303" s="2" t="s">
        <v>2588</v>
      </c>
      <c r="D303" s="18">
        <v>275233282930202</v>
      </c>
      <c r="E303" s="2" t="s">
        <v>1685</v>
      </c>
      <c r="F303" s="2" t="s">
        <v>1691</v>
      </c>
      <c r="G303" t="b">
        <f t="shared" si="8"/>
        <v>1</v>
      </c>
      <c r="H303" t="str">
        <f t="shared" si="9"/>
        <v>Kolkata</v>
      </c>
    </row>
    <row r="304" spans="1:8" x14ac:dyDescent="0.4">
      <c r="A304" s="2" t="s">
        <v>2589</v>
      </c>
      <c r="B304" s="2" t="s">
        <v>2590</v>
      </c>
      <c r="C304" s="2" t="s">
        <v>2591</v>
      </c>
      <c r="D304" s="18">
        <v>691330303346771</v>
      </c>
      <c r="E304" s="2" t="s">
        <v>1730</v>
      </c>
      <c r="F304" s="2" t="s">
        <v>1717</v>
      </c>
      <c r="G304" t="b">
        <f t="shared" si="8"/>
        <v>1</v>
      </c>
      <c r="H304" t="str">
        <f t="shared" si="9"/>
        <v>Pune</v>
      </c>
    </row>
    <row r="305" spans="1:8" x14ac:dyDescent="0.4">
      <c r="A305" s="2" t="s">
        <v>2592</v>
      </c>
      <c r="B305" s="2" t="s">
        <v>2593</v>
      </c>
      <c r="C305" s="2" t="s">
        <v>1720</v>
      </c>
      <c r="D305" s="18">
        <v>116750762799553</v>
      </c>
      <c r="E305" s="2" t="s">
        <v>1730</v>
      </c>
      <c r="F305" s="2" t="s">
        <v>1717</v>
      </c>
      <c r="G305" t="b">
        <f t="shared" si="8"/>
        <v>0</v>
      </c>
      <c r="H305" t="str">
        <f t="shared" si="9"/>
        <v>Pune</v>
      </c>
    </row>
    <row r="306" spans="1:8" x14ac:dyDescent="0.4">
      <c r="A306" s="2" t="s">
        <v>2594</v>
      </c>
      <c r="B306" s="2" t="s">
        <v>2595</v>
      </c>
      <c r="C306" s="2" t="s">
        <v>2596</v>
      </c>
      <c r="D306" s="18">
        <v>102453012398472</v>
      </c>
      <c r="E306" s="2" t="s">
        <v>1739</v>
      </c>
      <c r="F306" s="2" t="s">
        <v>1691</v>
      </c>
      <c r="G306" t="b">
        <f t="shared" si="8"/>
        <v>1</v>
      </c>
      <c r="H306" t="str">
        <f t="shared" si="9"/>
        <v>Chennai</v>
      </c>
    </row>
    <row r="307" spans="1:8" x14ac:dyDescent="0.4">
      <c r="A307" s="2" t="s">
        <v>2597</v>
      </c>
      <c r="B307" s="2" t="s">
        <v>2598</v>
      </c>
      <c r="C307" s="2" t="s">
        <v>2599</v>
      </c>
      <c r="D307" s="18">
        <v>342028471</v>
      </c>
      <c r="E307" s="2" t="s">
        <v>1730</v>
      </c>
      <c r="F307" s="2" t="s">
        <v>1686</v>
      </c>
      <c r="G307" t="b">
        <f t="shared" si="8"/>
        <v>1</v>
      </c>
      <c r="H307" t="str">
        <f t="shared" si="9"/>
        <v>Pune</v>
      </c>
    </row>
    <row r="308" spans="1:8" x14ac:dyDescent="0.4">
      <c r="A308" s="2" t="s">
        <v>2600</v>
      </c>
      <c r="B308" s="2" t="s">
        <v>2601</v>
      </c>
      <c r="C308" s="2" t="s">
        <v>2602</v>
      </c>
      <c r="D308" s="18">
        <v>10172224050</v>
      </c>
      <c r="E308" s="2" t="s">
        <v>1698</v>
      </c>
      <c r="F308" s="2" t="s">
        <v>1717</v>
      </c>
      <c r="G308" t="b">
        <f t="shared" si="8"/>
        <v>1</v>
      </c>
      <c r="H308" t="str">
        <f t="shared" si="9"/>
        <v>Delhi</v>
      </c>
    </row>
    <row r="309" spans="1:8" x14ac:dyDescent="0.4">
      <c r="A309" s="2" t="s">
        <v>2603</v>
      </c>
      <c r="B309" s="2" t="s">
        <v>2604</v>
      </c>
      <c r="C309" s="2" t="s">
        <v>2605</v>
      </c>
      <c r="D309" s="18">
        <v>6487177546199</v>
      </c>
      <c r="E309" s="2" t="s">
        <v>1685</v>
      </c>
      <c r="F309" s="2" t="s">
        <v>1691</v>
      </c>
      <c r="G309" t="b">
        <f t="shared" si="8"/>
        <v>1</v>
      </c>
      <c r="H309" t="str">
        <f t="shared" si="9"/>
        <v>Kolkata</v>
      </c>
    </row>
    <row r="310" spans="1:8" x14ac:dyDescent="0.4">
      <c r="A310" s="2" t="s">
        <v>2606</v>
      </c>
      <c r="B310" s="2" t="s">
        <v>2607</v>
      </c>
      <c r="C310" s="2" t="s">
        <v>2608</v>
      </c>
      <c r="D310" s="18" t="s">
        <v>3802</v>
      </c>
      <c r="E310" s="2" t="s">
        <v>1739</v>
      </c>
      <c r="F310" s="2" t="s">
        <v>1717</v>
      </c>
      <c r="G310" t="b">
        <f t="shared" si="8"/>
        <v>1</v>
      </c>
      <c r="H310" t="str">
        <f t="shared" si="9"/>
        <v>Chennai</v>
      </c>
    </row>
    <row r="311" spans="1:8" x14ac:dyDescent="0.4">
      <c r="A311" s="2" t="s">
        <v>2609</v>
      </c>
      <c r="B311" s="2" t="s">
        <v>194</v>
      </c>
      <c r="C311" s="2" t="s">
        <v>2610</v>
      </c>
      <c r="D311" s="18">
        <v>125812259095668</v>
      </c>
      <c r="E311" s="2" t="s">
        <v>1698</v>
      </c>
      <c r="F311" s="2" t="s">
        <v>1691</v>
      </c>
      <c r="G311" t="b">
        <f t="shared" si="8"/>
        <v>1</v>
      </c>
      <c r="H311" t="str">
        <f t="shared" si="9"/>
        <v>Delhi</v>
      </c>
    </row>
    <row r="312" spans="1:8" x14ac:dyDescent="0.4">
      <c r="A312" s="2" t="s">
        <v>2611</v>
      </c>
      <c r="B312" s="2" t="s">
        <v>2612</v>
      </c>
      <c r="C312" s="2" t="s">
        <v>2613</v>
      </c>
      <c r="D312" s="18">
        <v>48237337912121</v>
      </c>
      <c r="E312" s="2" t="s">
        <v>1713</v>
      </c>
      <c r="F312" s="2" t="s">
        <v>1686</v>
      </c>
      <c r="G312" t="b">
        <f t="shared" si="8"/>
        <v>1</v>
      </c>
      <c r="H312" t="str">
        <f t="shared" si="9"/>
        <v>Bangalore</v>
      </c>
    </row>
    <row r="313" spans="1:8" x14ac:dyDescent="0.4">
      <c r="A313" s="2" t="s">
        <v>2614</v>
      </c>
      <c r="B313" s="2" t="s">
        <v>2615</v>
      </c>
      <c r="C313" s="2" t="s">
        <v>2616</v>
      </c>
      <c r="D313" s="18">
        <v>187803586</v>
      </c>
      <c r="E313" s="2" t="s">
        <v>1690</v>
      </c>
      <c r="F313" s="2" t="s">
        <v>1699</v>
      </c>
      <c r="G313" t="b">
        <f t="shared" si="8"/>
        <v>1</v>
      </c>
      <c r="H313" t="str">
        <f t="shared" si="9"/>
        <v>Hyderabad</v>
      </c>
    </row>
    <row r="314" spans="1:8" x14ac:dyDescent="0.4">
      <c r="A314" s="2" t="s">
        <v>2617</v>
      </c>
      <c r="B314" s="2" t="s">
        <v>2618</v>
      </c>
      <c r="C314" s="2" t="s">
        <v>2619</v>
      </c>
      <c r="D314" s="18">
        <v>190170740392519</v>
      </c>
      <c r="E314" s="2" t="s">
        <v>1698</v>
      </c>
      <c r="F314" s="2" t="s">
        <v>1686</v>
      </c>
      <c r="G314" t="b">
        <f t="shared" si="8"/>
        <v>1</v>
      </c>
      <c r="H314" t="str">
        <f t="shared" si="9"/>
        <v>Delhi</v>
      </c>
    </row>
    <row r="315" spans="1:8" x14ac:dyDescent="0.4">
      <c r="A315" s="2" t="s">
        <v>2620</v>
      </c>
      <c r="B315" s="2" t="s">
        <v>2621</v>
      </c>
      <c r="C315" s="2" t="s">
        <v>2622</v>
      </c>
      <c r="D315" s="18">
        <v>19452951712227</v>
      </c>
      <c r="E315" s="2" t="s">
        <v>1739</v>
      </c>
      <c r="F315" s="2" t="s">
        <v>1699</v>
      </c>
      <c r="G315" t="b">
        <f t="shared" si="8"/>
        <v>1</v>
      </c>
      <c r="H315" t="str">
        <f t="shared" si="9"/>
        <v>Chennai</v>
      </c>
    </row>
    <row r="316" spans="1:8" x14ac:dyDescent="0.4">
      <c r="A316" s="2" t="s">
        <v>2623</v>
      </c>
      <c r="B316" s="2" t="s">
        <v>2624</v>
      </c>
      <c r="C316" s="2" t="s">
        <v>2625</v>
      </c>
      <c r="D316" s="18" t="s">
        <v>3803</v>
      </c>
      <c r="E316" s="2" t="s">
        <v>1703</v>
      </c>
      <c r="F316" s="2" t="s">
        <v>1699</v>
      </c>
      <c r="G316" t="b">
        <f t="shared" si="8"/>
        <v>1</v>
      </c>
      <c r="H316" t="str">
        <f t="shared" si="9"/>
        <v>Mumbai</v>
      </c>
    </row>
    <row r="317" spans="1:8" x14ac:dyDescent="0.4">
      <c r="A317" s="2" t="s">
        <v>2626</v>
      </c>
      <c r="B317" s="2" t="s">
        <v>2627</v>
      </c>
      <c r="C317" s="2" t="s">
        <v>2628</v>
      </c>
      <c r="D317" s="18" t="s">
        <v>3804</v>
      </c>
      <c r="E317" s="2" t="s">
        <v>1698</v>
      </c>
      <c r="F317" s="2" t="s">
        <v>1717</v>
      </c>
      <c r="G317" t="b">
        <f t="shared" si="8"/>
        <v>1</v>
      </c>
      <c r="H317" t="str">
        <f t="shared" si="9"/>
        <v>Delhi</v>
      </c>
    </row>
    <row r="318" spans="1:8" x14ac:dyDescent="0.4">
      <c r="A318" s="2" t="s">
        <v>2629</v>
      </c>
      <c r="B318" s="2" t="s">
        <v>2630</v>
      </c>
      <c r="C318" s="2" t="s">
        <v>2631</v>
      </c>
      <c r="D318" s="18">
        <v>4447048878</v>
      </c>
      <c r="E318" s="2" t="s">
        <v>1698</v>
      </c>
      <c r="F318" s="2" t="s">
        <v>1691</v>
      </c>
      <c r="G318" t="b">
        <f t="shared" si="8"/>
        <v>1</v>
      </c>
      <c r="H318" t="str">
        <f t="shared" si="9"/>
        <v>Delhi</v>
      </c>
    </row>
    <row r="319" spans="1:8" x14ac:dyDescent="0.4">
      <c r="A319" s="2" t="s">
        <v>2632</v>
      </c>
      <c r="B319" s="2" t="s">
        <v>2633</v>
      </c>
      <c r="C319" s="2" t="s">
        <v>2634</v>
      </c>
      <c r="D319" s="18">
        <v>19504702059685</v>
      </c>
      <c r="E319" s="2" t="s">
        <v>1739</v>
      </c>
      <c r="F319" s="2" t="s">
        <v>1691</v>
      </c>
      <c r="G319" t="b">
        <f t="shared" si="8"/>
        <v>1</v>
      </c>
      <c r="H319" t="str">
        <f t="shared" si="9"/>
        <v>Chennai</v>
      </c>
    </row>
    <row r="320" spans="1:8" x14ac:dyDescent="0.4">
      <c r="A320" s="2" t="s">
        <v>2635</v>
      </c>
      <c r="B320" s="2" t="s">
        <v>2636</v>
      </c>
      <c r="C320" s="2" t="s">
        <v>1720</v>
      </c>
      <c r="D320" s="18">
        <v>9537749266</v>
      </c>
      <c r="E320" s="2" t="s">
        <v>1730</v>
      </c>
      <c r="F320" s="2" t="s">
        <v>1691</v>
      </c>
      <c r="G320" t="b">
        <f t="shared" si="8"/>
        <v>0</v>
      </c>
      <c r="H320" t="str">
        <f t="shared" si="9"/>
        <v>Pune</v>
      </c>
    </row>
    <row r="321" spans="1:8" x14ac:dyDescent="0.4">
      <c r="A321" s="2" t="s">
        <v>2637</v>
      </c>
      <c r="B321" s="2" t="s">
        <v>2638</v>
      </c>
      <c r="C321" s="2" t="s">
        <v>2639</v>
      </c>
      <c r="D321" s="18">
        <v>132956342777522</v>
      </c>
      <c r="E321" s="2" t="s">
        <v>1703</v>
      </c>
      <c r="F321" s="2" t="s">
        <v>1686</v>
      </c>
      <c r="G321" t="b">
        <f t="shared" si="8"/>
        <v>1</v>
      </c>
      <c r="H321" t="str">
        <f t="shared" si="9"/>
        <v>Mumbai</v>
      </c>
    </row>
    <row r="322" spans="1:8" x14ac:dyDescent="0.4">
      <c r="A322" s="2" t="s">
        <v>2640</v>
      </c>
      <c r="B322" s="2" t="s">
        <v>2641</v>
      </c>
      <c r="C322" s="2" t="s">
        <v>2642</v>
      </c>
      <c r="D322" s="18" t="s">
        <v>3805</v>
      </c>
      <c r="E322" s="2" t="s">
        <v>1690</v>
      </c>
      <c r="F322" s="2" t="s">
        <v>1686</v>
      </c>
      <c r="G322" t="b">
        <f t="shared" ref="G322:G385" si="10">ISNUMBER(SEARCH("@",C322))</f>
        <v>1</v>
      </c>
      <c r="H322" t="str">
        <f t="shared" si="9"/>
        <v>Hyderabad</v>
      </c>
    </row>
    <row r="323" spans="1:8" x14ac:dyDescent="0.4">
      <c r="A323" s="2" t="s">
        <v>2643</v>
      </c>
      <c r="B323" s="2" t="s">
        <v>2644</v>
      </c>
      <c r="C323" s="2" t="s">
        <v>2645</v>
      </c>
      <c r="D323" s="18">
        <v>159229411563029</v>
      </c>
      <c r="E323" s="2" t="s">
        <v>1703</v>
      </c>
      <c r="F323" s="2" t="s">
        <v>1686</v>
      </c>
      <c r="G323" t="b">
        <f t="shared" si="10"/>
        <v>1</v>
      </c>
      <c r="H323" t="str">
        <f t="shared" ref="H323:H386" si="11">PROPER(E323)</f>
        <v>Mumbai</v>
      </c>
    </row>
    <row r="324" spans="1:8" x14ac:dyDescent="0.4">
      <c r="A324" s="2" t="s">
        <v>2646</v>
      </c>
      <c r="B324" s="2" t="s">
        <v>2647</v>
      </c>
      <c r="C324" s="2" t="s">
        <v>2648</v>
      </c>
      <c r="D324" s="18">
        <v>596363726294206</v>
      </c>
      <c r="E324" s="2" t="s">
        <v>1690</v>
      </c>
      <c r="F324" s="2" t="s">
        <v>1686</v>
      </c>
      <c r="G324" t="b">
        <f t="shared" si="10"/>
        <v>1</v>
      </c>
      <c r="H324" t="str">
        <f t="shared" si="11"/>
        <v>Hyderabad</v>
      </c>
    </row>
    <row r="325" spans="1:8" x14ac:dyDescent="0.4">
      <c r="A325" s="2" t="s">
        <v>2649</v>
      </c>
      <c r="B325" s="2" t="s">
        <v>2650</v>
      </c>
      <c r="C325" s="2" t="s">
        <v>2651</v>
      </c>
      <c r="D325" s="18" t="s">
        <v>3806</v>
      </c>
      <c r="E325" s="2" t="s">
        <v>1713</v>
      </c>
      <c r="F325" s="2" t="s">
        <v>1717</v>
      </c>
      <c r="G325" t="b">
        <f t="shared" si="10"/>
        <v>1</v>
      </c>
      <c r="H325" t="str">
        <f t="shared" si="11"/>
        <v>Bangalore</v>
      </c>
    </row>
    <row r="326" spans="1:8" x14ac:dyDescent="0.4">
      <c r="A326" s="2" t="s">
        <v>2652</v>
      </c>
      <c r="B326" s="2" t="s">
        <v>2653</v>
      </c>
      <c r="C326" s="2" t="s">
        <v>2654</v>
      </c>
      <c r="D326" s="18">
        <v>1004983211221210</v>
      </c>
      <c r="E326" s="2" t="s">
        <v>1730</v>
      </c>
      <c r="F326" s="2" t="s">
        <v>1717</v>
      </c>
      <c r="G326" t="b">
        <f t="shared" si="10"/>
        <v>1</v>
      </c>
      <c r="H326" t="str">
        <f t="shared" si="11"/>
        <v>Pune</v>
      </c>
    </row>
    <row r="327" spans="1:8" x14ac:dyDescent="0.4">
      <c r="A327" s="2" t="s">
        <v>2655</v>
      </c>
      <c r="B327" s="2" t="s">
        <v>2656</v>
      </c>
      <c r="C327" s="2" t="s">
        <v>1720</v>
      </c>
      <c r="D327" s="18">
        <v>148158268687640</v>
      </c>
      <c r="E327" s="2" t="s">
        <v>1713</v>
      </c>
      <c r="F327" s="2" t="s">
        <v>1699</v>
      </c>
      <c r="G327" t="b">
        <f t="shared" si="10"/>
        <v>0</v>
      </c>
      <c r="H327" t="str">
        <f t="shared" si="11"/>
        <v>Bangalore</v>
      </c>
    </row>
    <row r="328" spans="1:8" x14ac:dyDescent="0.4">
      <c r="A328" s="2" t="s">
        <v>2657</v>
      </c>
      <c r="B328" s="2" t="s">
        <v>2658</v>
      </c>
      <c r="C328" s="2" t="s">
        <v>2659</v>
      </c>
      <c r="D328" s="18">
        <v>9185488064</v>
      </c>
      <c r="E328" s="2" t="s">
        <v>1698</v>
      </c>
      <c r="F328" s="2" t="s">
        <v>1699</v>
      </c>
      <c r="G328" t="b">
        <f t="shared" si="10"/>
        <v>1</v>
      </c>
      <c r="H328" t="str">
        <f t="shared" si="11"/>
        <v>Delhi</v>
      </c>
    </row>
    <row r="329" spans="1:8" x14ac:dyDescent="0.4">
      <c r="A329" s="2" t="s">
        <v>2660</v>
      </c>
      <c r="B329" s="2" t="s">
        <v>2661</v>
      </c>
      <c r="C329" s="2" t="s">
        <v>2662</v>
      </c>
      <c r="D329" s="18">
        <v>20062987787358</v>
      </c>
      <c r="E329" s="2" t="s">
        <v>1698</v>
      </c>
      <c r="F329" s="2" t="s">
        <v>1691</v>
      </c>
      <c r="G329" t="b">
        <f t="shared" si="10"/>
        <v>1</v>
      </c>
      <c r="H329" t="str">
        <f t="shared" si="11"/>
        <v>Delhi</v>
      </c>
    </row>
    <row r="330" spans="1:8" x14ac:dyDescent="0.4">
      <c r="A330" s="2" t="s">
        <v>2663</v>
      </c>
      <c r="B330" s="2" t="s">
        <v>2664</v>
      </c>
      <c r="C330" s="2" t="s">
        <v>2665</v>
      </c>
      <c r="D330" s="18">
        <v>664641962342192</v>
      </c>
      <c r="E330" s="2" t="s">
        <v>1730</v>
      </c>
      <c r="F330" s="2" t="s">
        <v>1686</v>
      </c>
      <c r="G330" t="b">
        <f t="shared" si="10"/>
        <v>1</v>
      </c>
      <c r="H330" t="str">
        <f t="shared" si="11"/>
        <v>Pune</v>
      </c>
    </row>
    <row r="331" spans="1:8" x14ac:dyDescent="0.4">
      <c r="A331" s="2" t="s">
        <v>2666</v>
      </c>
      <c r="B331" s="2" t="s">
        <v>2667</v>
      </c>
      <c r="C331" s="2" t="s">
        <v>2668</v>
      </c>
      <c r="D331" s="18">
        <v>16221320410429</v>
      </c>
      <c r="E331" s="2" t="s">
        <v>1685</v>
      </c>
      <c r="F331" s="2" t="s">
        <v>1717</v>
      </c>
      <c r="G331" t="b">
        <f t="shared" si="10"/>
        <v>1</v>
      </c>
      <c r="H331" t="str">
        <f t="shared" si="11"/>
        <v>Kolkata</v>
      </c>
    </row>
    <row r="332" spans="1:8" x14ac:dyDescent="0.4">
      <c r="A332" s="2" t="s">
        <v>2669</v>
      </c>
      <c r="B332" s="2" t="s">
        <v>2670</v>
      </c>
      <c r="C332" s="2" t="s">
        <v>2671</v>
      </c>
      <c r="D332" s="18">
        <v>8314789117972</v>
      </c>
      <c r="E332" s="2" t="s">
        <v>1713</v>
      </c>
      <c r="F332" s="2" t="s">
        <v>1699</v>
      </c>
      <c r="G332" t="b">
        <f t="shared" si="10"/>
        <v>1</v>
      </c>
      <c r="H332" t="str">
        <f t="shared" si="11"/>
        <v>Bangalore</v>
      </c>
    </row>
    <row r="333" spans="1:8" x14ac:dyDescent="0.4">
      <c r="A333" s="2" t="s">
        <v>2672</v>
      </c>
      <c r="B333" s="2" t="s">
        <v>2673</v>
      </c>
      <c r="C333" s="2" t="s">
        <v>1720</v>
      </c>
      <c r="D333" s="18">
        <v>1699994981283180</v>
      </c>
      <c r="E333" s="2" t="s">
        <v>1703</v>
      </c>
      <c r="F333" s="2" t="s">
        <v>1691</v>
      </c>
      <c r="G333" t="b">
        <f t="shared" si="10"/>
        <v>0</v>
      </c>
      <c r="H333" t="str">
        <f t="shared" si="11"/>
        <v>Mumbai</v>
      </c>
    </row>
    <row r="334" spans="1:8" x14ac:dyDescent="0.4">
      <c r="A334" s="2" t="s">
        <v>2674</v>
      </c>
      <c r="B334" s="2" t="s">
        <v>2675</v>
      </c>
      <c r="C334" s="2" t="s">
        <v>2676</v>
      </c>
      <c r="D334" s="18" t="s">
        <v>2677</v>
      </c>
      <c r="E334" s="2" t="s">
        <v>1713</v>
      </c>
      <c r="F334" s="2" t="s">
        <v>1691</v>
      </c>
      <c r="G334" t="b">
        <f t="shared" si="10"/>
        <v>1</v>
      </c>
      <c r="H334" t="str">
        <f t="shared" si="11"/>
        <v>Bangalore</v>
      </c>
    </row>
    <row r="335" spans="1:8" x14ac:dyDescent="0.4">
      <c r="A335" s="2" t="s">
        <v>2678</v>
      </c>
      <c r="B335" s="2" t="s">
        <v>2679</v>
      </c>
      <c r="C335" s="2" t="s">
        <v>2680</v>
      </c>
      <c r="D335" s="18">
        <v>2853863105</v>
      </c>
      <c r="E335" s="2" t="s">
        <v>1690</v>
      </c>
      <c r="F335" s="2" t="s">
        <v>1686</v>
      </c>
      <c r="G335" t="b">
        <f t="shared" si="10"/>
        <v>1</v>
      </c>
      <c r="H335" t="str">
        <f t="shared" si="11"/>
        <v>Hyderabad</v>
      </c>
    </row>
    <row r="336" spans="1:8" x14ac:dyDescent="0.4">
      <c r="A336" s="2" t="s">
        <v>2681</v>
      </c>
      <c r="B336" s="2" t="s">
        <v>2682</v>
      </c>
      <c r="C336" s="2" t="s">
        <v>1720</v>
      </c>
      <c r="D336" s="18">
        <v>105243838058269</v>
      </c>
      <c r="E336" s="2" t="s">
        <v>1739</v>
      </c>
      <c r="F336" s="2" t="s">
        <v>1686</v>
      </c>
      <c r="G336" t="b">
        <f t="shared" si="10"/>
        <v>0</v>
      </c>
      <c r="H336" t="str">
        <f t="shared" si="11"/>
        <v>Chennai</v>
      </c>
    </row>
    <row r="337" spans="1:8" x14ac:dyDescent="0.4">
      <c r="A337" s="2" t="s">
        <v>2683</v>
      </c>
      <c r="B337" s="2" t="s">
        <v>2684</v>
      </c>
      <c r="C337" s="2" t="s">
        <v>2685</v>
      </c>
      <c r="D337" s="18" t="s">
        <v>3807</v>
      </c>
      <c r="E337" s="2" t="s">
        <v>1698</v>
      </c>
      <c r="F337" s="2" t="s">
        <v>1691</v>
      </c>
      <c r="G337" t="b">
        <f t="shared" si="10"/>
        <v>1</v>
      </c>
      <c r="H337" t="str">
        <f t="shared" si="11"/>
        <v>Delhi</v>
      </c>
    </row>
    <row r="338" spans="1:8" x14ac:dyDescent="0.4">
      <c r="A338" s="2" t="s">
        <v>2686</v>
      </c>
      <c r="B338" s="2" t="s">
        <v>2687</v>
      </c>
      <c r="C338" s="2" t="s">
        <v>2688</v>
      </c>
      <c r="D338" s="18">
        <v>1633283896337610</v>
      </c>
      <c r="E338" s="2" t="s">
        <v>1703</v>
      </c>
      <c r="F338" s="2" t="s">
        <v>1686</v>
      </c>
      <c r="G338" t="b">
        <f t="shared" si="10"/>
        <v>1</v>
      </c>
      <c r="H338" t="str">
        <f t="shared" si="11"/>
        <v>Mumbai</v>
      </c>
    </row>
    <row r="339" spans="1:8" x14ac:dyDescent="0.4">
      <c r="A339" s="2" t="s">
        <v>2689</v>
      </c>
      <c r="B339" s="2" t="s">
        <v>2690</v>
      </c>
      <c r="C339" s="2" t="s">
        <v>2691</v>
      </c>
      <c r="D339" s="18">
        <v>186267136841013</v>
      </c>
      <c r="E339" s="2" t="s">
        <v>1698</v>
      </c>
      <c r="F339" s="2" t="s">
        <v>1686</v>
      </c>
      <c r="G339" t="b">
        <f t="shared" si="10"/>
        <v>1</v>
      </c>
      <c r="H339" t="str">
        <f t="shared" si="11"/>
        <v>Delhi</v>
      </c>
    </row>
    <row r="340" spans="1:8" x14ac:dyDescent="0.4">
      <c r="A340" s="2" t="s">
        <v>2692</v>
      </c>
      <c r="B340" s="2" t="s">
        <v>2693</v>
      </c>
      <c r="C340" s="2" t="s">
        <v>2694</v>
      </c>
      <c r="D340" s="18" t="s">
        <v>3808</v>
      </c>
      <c r="E340" s="2" t="s">
        <v>1713</v>
      </c>
      <c r="F340" s="2" t="s">
        <v>1699</v>
      </c>
      <c r="G340" t="b">
        <f t="shared" si="10"/>
        <v>1</v>
      </c>
      <c r="H340" t="str">
        <f t="shared" si="11"/>
        <v>Bangalore</v>
      </c>
    </row>
    <row r="341" spans="1:8" x14ac:dyDescent="0.4">
      <c r="A341" s="2" t="s">
        <v>2695</v>
      </c>
      <c r="B341" s="2" t="s">
        <v>2696</v>
      </c>
      <c r="C341" s="2" t="s">
        <v>2697</v>
      </c>
      <c r="D341" s="18" t="s">
        <v>3809</v>
      </c>
      <c r="E341" s="2" t="s">
        <v>1730</v>
      </c>
      <c r="F341" s="2" t="s">
        <v>1699</v>
      </c>
      <c r="G341" t="b">
        <f t="shared" si="10"/>
        <v>1</v>
      </c>
      <c r="H341" t="str">
        <f t="shared" si="11"/>
        <v>Pune</v>
      </c>
    </row>
    <row r="342" spans="1:8" x14ac:dyDescent="0.4">
      <c r="A342" s="2" t="s">
        <v>2698</v>
      </c>
      <c r="B342" s="2" t="s">
        <v>2699</v>
      </c>
      <c r="C342" s="2" t="s">
        <v>2700</v>
      </c>
      <c r="D342" s="18">
        <v>106592088143192</v>
      </c>
      <c r="E342" s="2" t="s">
        <v>1703</v>
      </c>
      <c r="F342" s="2" t="s">
        <v>1699</v>
      </c>
      <c r="G342" t="b">
        <f t="shared" si="10"/>
        <v>1</v>
      </c>
      <c r="H342" t="str">
        <f t="shared" si="11"/>
        <v>Mumbai</v>
      </c>
    </row>
    <row r="343" spans="1:8" x14ac:dyDescent="0.4">
      <c r="A343" s="2" t="s">
        <v>2701</v>
      </c>
      <c r="B343" s="2" t="s">
        <v>2702</v>
      </c>
      <c r="C343" s="2" t="s">
        <v>2703</v>
      </c>
      <c r="D343" s="18">
        <v>9761781596983</v>
      </c>
      <c r="E343" s="2" t="s">
        <v>1685</v>
      </c>
      <c r="F343" s="2" t="s">
        <v>1717</v>
      </c>
      <c r="G343" t="b">
        <f t="shared" si="10"/>
        <v>1</v>
      </c>
      <c r="H343" t="str">
        <f t="shared" si="11"/>
        <v>Kolkata</v>
      </c>
    </row>
    <row r="344" spans="1:8" x14ac:dyDescent="0.4">
      <c r="A344" s="2" t="s">
        <v>2704</v>
      </c>
      <c r="B344" s="2" t="s">
        <v>2705</v>
      </c>
      <c r="C344" s="2" t="s">
        <v>2706</v>
      </c>
      <c r="D344" s="18">
        <v>14572026656</v>
      </c>
      <c r="E344" s="2" t="s">
        <v>1739</v>
      </c>
      <c r="F344" s="2" t="s">
        <v>1686</v>
      </c>
      <c r="G344" t="b">
        <f t="shared" si="10"/>
        <v>1</v>
      </c>
      <c r="H344" t="str">
        <f t="shared" si="11"/>
        <v>Chennai</v>
      </c>
    </row>
    <row r="345" spans="1:8" x14ac:dyDescent="0.4">
      <c r="A345" s="2" t="s">
        <v>2707</v>
      </c>
      <c r="B345" s="2" t="s">
        <v>2708</v>
      </c>
      <c r="C345" s="2" t="s">
        <v>2709</v>
      </c>
      <c r="D345" s="18">
        <v>16295912573</v>
      </c>
      <c r="E345" s="2" t="s">
        <v>1730</v>
      </c>
      <c r="F345" s="2" t="s">
        <v>1699</v>
      </c>
      <c r="G345" t="b">
        <f t="shared" si="10"/>
        <v>1</v>
      </c>
      <c r="H345" t="str">
        <f t="shared" si="11"/>
        <v>Pune</v>
      </c>
    </row>
    <row r="346" spans="1:8" x14ac:dyDescent="0.4">
      <c r="A346" s="2" t="s">
        <v>2710</v>
      </c>
      <c r="B346" s="2" t="s">
        <v>2711</v>
      </c>
      <c r="C346" s="2" t="s">
        <v>2712</v>
      </c>
      <c r="D346" s="18">
        <v>98992553946074</v>
      </c>
      <c r="E346" s="2" t="s">
        <v>1685</v>
      </c>
      <c r="F346" s="2" t="s">
        <v>1699</v>
      </c>
      <c r="G346" t="b">
        <f t="shared" si="10"/>
        <v>1</v>
      </c>
      <c r="H346" t="str">
        <f t="shared" si="11"/>
        <v>Kolkata</v>
      </c>
    </row>
    <row r="347" spans="1:8" x14ac:dyDescent="0.4">
      <c r="A347" s="2" t="s">
        <v>2713</v>
      </c>
      <c r="B347" s="2" t="s">
        <v>2714</v>
      </c>
      <c r="C347" s="2" t="s">
        <v>2715</v>
      </c>
      <c r="D347" s="18" t="s">
        <v>3810</v>
      </c>
      <c r="E347" s="2" t="s">
        <v>1739</v>
      </c>
      <c r="F347" s="2" t="s">
        <v>1691</v>
      </c>
      <c r="G347" t="b">
        <f t="shared" si="10"/>
        <v>1</v>
      </c>
      <c r="H347" t="str">
        <f t="shared" si="11"/>
        <v>Chennai</v>
      </c>
    </row>
    <row r="348" spans="1:8" x14ac:dyDescent="0.4">
      <c r="A348" s="2" t="s">
        <v>2716</v>
      </c>
      <c r="B348" s="2" t="s">
        <v>2717</v>
      </c>
      <c r="C348" s="2" t="s">
        <v>2718</v>
      </c>
      <c r="D348" s="18">
        <v>14179967080</v>
      </c>
      <c r="E348" s="2" t="s">
        <v>1713</v>
      </c>
      <c r="F348" s="2" t="s">
        <v>1699</v>
      </c>
      <c r="G348" t="b">
        <f t="shared" si="10"/>
        <v>1</v>
      </c>
      <c r="H348" t="str">
        <f t="shared" si="11"/>
        <v>Bangalore</v>
      </c>
    </row>
    <row r="349" spans="1:8" x14ac:dyDescent="0.4">
      <c r="A349" s="2" t="s">
        <v>2719</v>
      </c>
      <c r="B349" s="2" t="s">
        <v>2720</v>
      </c>
      <c r="C349" s="2" t="s">
        <v>2721</v>
      </c>
      <c r="D349" s="18">
        <v>19747485994</v>
      </c>
      <c r="E349" s="2" t="s">
        <v>1690</v>
      </c>
      <c r="F349" s="2" t="s">
        <v>1691</v>
      </c>
      <c r="G349" t="b">
        <f t="shared" si="10"/>
        <v>1</v>
      </c>
      <c r="H349" t="str">
        <f t="shared" si="11"/>
        <v>Hyderabad</v>
      </c>
    </row>
    <row r="350" spans="1:8" x14ac:dyDescent="0.4">
      <c r="A350" s="2" t="s">
        <v>2722</v>
      </c>
      <c r="B350" s="2" t="s">
        <v>2723</v>
      </c>
      <c r="C350" s="2" t="s">
        <v>2724</v>
      </c>
      <c r="D350" s="18" t="s">
        <v>3811</v>
      </c>
      <c r="E350" s="2" t="s">
        <v>1685</v>
      </c>
      <c r="F350" s="2" t="s">
        <v>1686</v>
      </c>
      <c r="G350" t="b">
        <f t="shared" si="10"/>
        <v>1</v>
      </c>
      <c r="H350" t="str">
        <f t="shared" si="11"/>
        <v>Kolkata</v>
      </c>
    </row>
    <row r="351" spans="1:8" x14ac:dyDescent="0.4">
      <c r="A351" s="2" t="s">
        <v>2725</v>
      </c>
      <c r="B351" s="2" t="s">
        <v>2726</v>
      </c>
      <c r="C351" s="2" t="s">
        <v>2727</v>
      </c>
      <c r="D351" s="18">
        <v>153698816498044</v>
      </c>
      <c r="E351" s="2" t="s">
        <v>1730</v>
      </c>
      <c r="F351" s="2" t="s">
        <v>1691</v>
      </c>
      <c r="G351" t="b">
        <f t="shared" si="10"/>
        <v>1</v>
      </c>
      <c r="H351" t="str">
        <f t="shared" si="11"/>
        <v>Pune</v>
      </c>
    </row>
    <row r="352" spans="1:8" x14ac:dyDescent="0.4">
      <c r="A352" s="2" t="s">
        <v>2728</v>
      </c>
      <c r="B352" s="2" t="s">
        <v>2729</v>
      </c>
      <c r="C352" s="2" t="s">
        <v>2730</v>
      </c>
      <c r="D352" s="18">
        <v>92860521026270</v>
      </c>
      <c r="E352" s="2" t="s">
        <v>1730</v>
      </c>
      <c r="F352" s="2" t="s">
        <v>1699</v>
      </c>
      <c r="G352" t="b">
        <f t="shared" si="10"/>
        <v>1</v>
      </c>
      <c r="H352" t="str">
        <f t="shared" si="11"/>
        <v>Pune</v>
      </c>
    </row>
    <row r="353" spans="1:8" x14ac:dyDescent="0.4">
      <c r="A353" s="2" t="s">
        <v>2731</v>
      </c>
      <c r="B353" s="2" t="s">
        <v>2732</v>
      </c>
      <c r="C353" s="2" t="s">
        <v>2733</v>
      </c>
      <c r="D353" s="18" t="s">
        <v>3812</v>
      </c>
      <c r="E353" s="2" t="s">
        <v>1713</v>
      </c>
      <c r="F353" s="2" t="s">
        <v>1717</v>
      </c>
      <c r="G353" t="b">
        <f t="shared" si="10"/>
        <v>1</v>
      </c>
      <c r="H353" t="str">
        <f t="shared" si="11"/>
        <v>Bangalore</v>
      </c>
    </row>
    <row r="354" spans="1:8" x14ac:dyDescent="0.4">
      <c r="A354" s="2" t="s">
        <v>2734</v>
      </c>
      <c r="B354" s="2" t="s">
        <v>2735</v>
      </c>
      <c r="C354" s="2" t="s">
        <v>2736</v>
      </c>
      <c r="D354" s="18">
        <v>1308898305748830</v>
      </c>
      <c r="E354" s="2" t="s">
        <v>1703</v>
      </c>
      <c r="F354" s="2" t="s">
        <v>1717</v>
      </c>
      <c r="G354" t="b">
        <f t="shared" si="10"/>
        <v>1</v>
      </c>
      <c r="H354" t="str">
        <f t="shared" si="11"/>
        <v>Mumbai</v>
      </c>
    </row>
    <row r="355" spans="1:8" x14ac:dyDescent="0.4">
      <c r="A355" s="2" t="s">
        <v>2737</v>
      </c>
      <c r="B355" s="2" t="s">
        <v>2738</v>
      </c>
      <c r="C355" s="2" t="s">
        <v>2739</v>
      </c>
      <c r="D355" s="18">
        <v>17418563027500</v>
      </c>
      <c r="E355" s="2" t="s">
        <v>1685</v>
      </c>
      <c r="F355" s="2" t="s">
        <v>1686</v>
      </c>
      <c r="G355" t="b">
        <f t="shared" si="10"/>
        <v>1</v>
      </c>
      <c r="H355" t="str">
        <f t="shared" si="11"/>
        <v>Kolkata</v>
      </c>
    </row>
    <row r="356" spans="1:8" x14ac:dyDescent="0.4">
      <c r="A356" s="2" t="s">
        <v>2740</v>
      </c>
      <c r="B356" s="2" t="s">
        <v>2741</v>
      </c>
      <c r="C356" s="2" t="s">
        <v>2742</v>
      </c>
      <c r="D356" s="18" t="s">
        <v>2743</v>
      </c>
      <c r="E356" s="2" t="s">
        <v>1739</v>
      </c>
      <c r="F356" s="2" t="s">
        <v>1699</v>
      </c>
      <c r="G356" t="b">
        <f t="shared" si="10"/>
        <v>1</v>
      </c>
      <c r="H356" t="str">
        <f t="shared" si="11"/>
        <v>Chennai</v>
      </c>
    </row>
    <row r="357" spans="1:8" x14ac:dyDescent="0.4">
      <c r="A357" s="2" t="s">
        <v>2744</v>
      </c>
      <c r="B357" s="2" t="s">
        <v>2745</v>
      </c>
      <c r="C357" s="2" t="s">
        <v>2746</v>
      </c>
      <c r="D357" s="18" t="s">
        <v>2747</v>
      </c>
      <c r="E357" s="2" t="s">
        <v>1713</v>
      </c>
      <c r="F357" s="2" t="s">
        <v>1686</v>
      </c>
      <c r="G357" t="b">
        <f t="shared" si="10"/>
        <v>1</v>
      </c>
      <c r="H357" t="str">
        <f t="shared" si="11"/>
        <v>Bangalore</v>
      </c>
    </row>
    <row r="358" spans="1:8" x14ac:dyDescent="0.4">
      <c r="A358" s="2" t="s">
        <v>2748</v>
      </c>
      <c r="B358" s="2" t="s">
        <v>2749</v>
      </c>
      <c r="C358" s="2" t="s">
        <v>2750</v>
      </c>
      <c r="D358" s="18">
        <v>1467908701872600</v>
      </c>
      <c r="E358" s="2" t="s">
        <v>1730</v>
      </c>
      <c r="F358" s="2" t="s">
        <v>1691</v>
      </c>
      <c r="G358" t="b">
        <f t="shared" si="10"/>
        <v>1</v>
      </c>
      <c r="H358" t="str">
        <f t="shared" si="11"/>
        <v>Pune</v>
      </c>
    </row>
    <row r="359" spans="1:8" x14ac:dyDescent="0.4">
      <c r="A359" s="2" t="s">
        <v>2751</v>
      </c>
      <c r="B359" s="2" t="s">
        <v>2752</v>
      </c>
      <c r="C359" s="2" t="s">
        <v>2753</v>
      </c>
      <c r="D359" s="18">
        <v>3651034444</v>
      </c>
      <c r="E359" s="2" t="s">
        <v>1698</v>
      </c>
      <c r="F359" s="2" t="s">
        <v>1686</v>
      </c>
      <c r="G359" t="b">
        <f t="shared" si="10"/>
        <v>1</v>
      </c>
      <c r="H359" t="str">
        <f t="shared" si="11"/>
        <v>Delhi</v>
      </c>
    </row>
    <row r="360" spans="1:8" x14ac:dyDescent="0.4">
      <c r="A360" s="2" t="s">
        <v>2754</v>
      </c>
      <c r="B360" s="2" t="s">
        <v>2755</v>
      </c>
      <c r="C360" s="2" t="s">
        <v>2756</v>
      </c>
      <c r="D360" s="18" t="s">
        <v>3813</v>
      </c>
      <c r="E360" s="2" t="s">
        <v>1698</v>
      </c>
      <c r="F360" s="2" t="s">
        <v>1717</v>
      </c>
      <c r="G360" t="b">
        <f t="shared" si="10"/>
        <v>1</v>
      </c>
      <c r="H360" t="str">
        <f t="shared" si="11"/>
        <v>Delhi</v>
      </c>
    </row>
    <row r="361" spans="1:8" x14ac:dyDescent="0.4">
      <c r="A361" s="2" t="s">
        <v>2757</v>
      </c>
      <c r="B361" s="2" t="s">
        <v>2758</v>
      </c>
      <c r="C361" s="2" t="s">
        <v>2759</v>
      </c>
      <c r="D361" s="18" t="s">
        <v>3814</v>
      </c>
      <c r="E361" s="2" t="s">
        <v>1730</v>
      </c>
      <c r="F361" s="2" t="s">
        <v>1686</v>
      </c>
      <c r="G361" t="b">
        <f t="shared" si="10"/>
        <v>1</v>
      </c>
      <c r="H361" t="str">
        <f t="shared" si="11"/>
        <v>Pune</v>
      </c>
    </row>
    <row r="362" spans="1:8" x14ac:dyDescent="0.4">
      <c r="A362" s="2" t="s">
        <v>2760</v>
      </c>
      <c r="B362" s="2" t="s">
        <v>2761</v>
      </c>
      <c r="C362" s="2" t="s">
        <v>2762</v>
      </c>
      <c r="D362" s="18" t="s">
        <v>3815</v>
      </c>
      <c r="E362" s="2" t="s">
        <v>1703</v>
      </c>
      <c r="F362" s="2" t="s">
        <v>1691</v>
      </c>
      <c r="G362" t="b">
        <f t="shared" si="10"/>
        <v>1</v>
      </c>
      <c r="H362" t="str">
        <f t="shared" si="11"/>
        <v>Mumbai</v>
      </c>
    </row>
    <row r="363" spans="1:8" x14ac:dyDescent="0.4">
      <c r="A363" s="2" t="s">
        <v>2763</v>
      </c>
      <c r="B363" s="2" t="s">
        <v>2764</v>
      </c>
      <c r="C363" s="2" t="s">
        <v>2765</v>
      </c>
      <c r="D363" s="18">
        <v>4704747648</v>
      </c>
      <c r="E363" s="2" t="s">
        <v>1685</v>
      </c>
      <c r="F363" s="2" t="s">
        <v>1699</v>
      </c>
      <c r="G363" t="b">
        <f t="shared" si="10"/>
        <v>1</v>
      </c>
      <c r="H363" t="str">
        <f t="shared" si="11"/>
        <v>Kolkata</v>
      </c>
    </row>
    <row r="364" spans="1:8" x14ac:dyDescent="0.4">
      <c r="A364" s="2" t="s">
        <v>2766</v>
      </c>
      <c r="B364" s="2" t="s">
        <v>2767</v>
      </c>
      <c r="C364" s="2" t="s">
        <v>2768</v>
      </c>
      <c r="D364" s="18">
        <v>55939652138350</v>
      </c>
      <c r="E364" s="2" t="s">
        <v>1730</v>
      </c>
      <c r="F364" s="2" t="s">
        <v>1686</v>
      </c>
      <c r="G364" t="b">
        <f t="shared" si="10"/>
        <v>1</v>
      </c>
      <c r="H364" t="str">
        <f t="shared" si="11"/>
        <v>Pune</v>
      </c>
    </row>
    <row r="365" spans="1:8" x14ac:dyDescent="0.4">
      <c r="A365" s="2" t="s">
        <v>2769</v>
      </c>
      <c r="B365" s="2" t="s">
        <v>2770</v>
      </c>
      <c r="C365" s="2" t="s">
        <v>2771</v>
      </c>
      <c r="D365" s="18">
        <v>12455312900362</v>
      </c>
      <c r="E365" s="2" t="s">
        <v>1698</v>
      </c>
      <c r="F365" s="2" t="s">
        <v>1691</v>
      </c>
      <c r="G365" t="b">
        <f t="shared" si="10"/>
        <v>1</v>
      </c>
      <c r="H365" t="str">
        <f t="shared" si="11"/>
        <v>Delhi</v>
      </c>
    </row>
    <row r="366" spans="1:8" x14ac:dyDescent="0.4">
      <c r="A366" s="2" t="s">
        <v>2772</v>
      </c>
      <c r="B366" s="2" t="s">
        <v>2773</v>
      </c>
      <c r="C366" s="2" t="s">
        <v>2774</v>
      </c>
      <c r="D366" s="18">
        <v>1211732772648830</v>
      </c>
      <c r="E366" s="2" t="s">
        <v>1690</v>
      </c>
      <c r="F366" s="2" t="s">
        <v>1717</v>
      </c>
      <c r="G366" t="b">
        <f t="shared" si="10"/>
        <v>1</v>
      </c>
      <c r="H366" t="str">
        <f t="shared" si="11"/>
        <v>Hyderabad</v>
      </c>
    </row>
    <row r="367" spans="1:8" x14ac:dyDescent="0.4">
      <c r="A367" s="2" t="s">
        <v>2775</v>
      </c>
      <c r="B367" s="2" t="s">
        <v>2776</v>
      </c>
      <c r="C367" s="2" t="s">
        <v>2777</v>
      </c>
      <c r="D367" s="18" t="s">
        <v>3816</v>
      </c>
      <c r="E367" s="2" t="s">
        <v>1730</v>
      </c>
      <c r="F367" s="2" t="s">
        <v>1699</v>
      </c>
      <c r="G367" t="b">
        <f t="shared" si="10"/>
        <v>1</v>
      </c>
      <c r="H367" t="str">
        <f t="shared" si="11"/>
        <v>Pune</v>
      </c>
    </row>
    <row r="368" spans="1:8" x14ac:dyDescent="0.4">
      <c r="A368" s="2" t="s">
        <v>2778</v>
      </c>
      <c r="B368" s="2" t="s">
        <v>2779</v>
      </c>
      <c r="C368" s="2" t="s">
        <v>2780</v>
      </c>
      <c r="D368" s="18">
        <v>6185759171</v>
      </c>
      <c r="E368" s="2" t="s">
        <v>1730</v>
      </c>
      <c r="F368" s="2" t="s">
        <v>1686</v>
      </c>
      <c r="G368" t="b">
        <f t="shared" si="10"/>
        <v>1</v>
      </c>
      <c r="H368" t="str">
        <f t="shared" si="11"/>
        <v>Pune</v>
      </c>
    </row>
    <row r="369" spans="1:8" x14ac:dyDescent="0.4">
      <c r="A369" s="2" t="s">
        <v>2781</v>
      </c>
      <c r="B369" s="2" t="s">
        <v>2782</v>
      </c>
      <c r="C369" s="2" t="s">
        <v>2783</v>
      </c>
      <c r="D369" s="18" t="s">
        <v>2784</v>
      </c>
      <c r="E369" s="2" t="s">
        <v>1690</v>
      </c>
      <c r="F369" s="2" t="s">
        <v>1686</v>
      </c>
      <c r="G369" t="b">
        <f t="shared" si="10"/>
        <v>1</v>
      </c>
      <c r="H369" t="str">
        <f t="shared" si="11"/>
        <v>Hyderabad</v>
      </c>
    </row>
    <row r="370" spans="1:8" x14ac:dyDescent="0.4">
      <c r="A370" s="2" t="s">
        <v>2785</v>
      </c>
      <c r="B370" s="2" t="s">
        <v>2786</v>
      </c>
      <c r="C370" s="2" t="s">
        <v>2787</v>
      </c>
      <c r="D370" s="18">
        <v>4473535247841</v>
      </c>
      <c r="E370" s="2" t="s">
        <v>1703</v>
      </c>
      <c r="F370" s="2" t="s">
        <v>1717</v>
      </c>
      <c r="G370" t="b">
        <f t="shared" si="10"/>
        <v>1</v>
      </c>
      <c r="H370" t="str">
        <f t="shared" si="11"/>
        <v>Mumbai</v>
      </c>
    </row>
    <row r="371" spans="1:8" x14ac:dyDescent="0.4">
      <c r="A371" s="2" t="s">
        <v>2788</v>
      </c>
      <c r="B371" s="2" t="s">
        <v>2789</v>
      </c>
      <c r="C371" s="2" t="s">
        <v>2790</v>
      </c>
      <c r="D371" s="18">
        <v>1594973449305</v>
      </c>
      <c r="E371" s="2" t="s">
        <v>1713</v>
      </c>
      <c r="F371" s="2" t="s">
        <v>1686</v>
      </c>
      <c r="G371" t="b">
        <f t="shared" si="10"/>
        <v>1</v>
      </c>
      <c r="H371" t="str">
        <f t="shared" si="11"/>
        <v>Bangalore</v>
      </c>
    </row>
    <row r="372" spans="1:8" x14ac:dyDescent="0.4">
      <c r="A372" s="2" t="s">
        <v>2791</v>
      </c>
      <c r="B372" s="2" t="s">
        <v>2792</v>
      </c>
      <c r="C372" s="2" t="s">
        <v>1720</v>
      </c>
      <c r="D372" s="18">
        <v>7880331836</v>
      </c>
      <c r="E372" s="2" t="s">
        <v>1698</v>
      </c>
      <c r="F372" s="2" t="s">
        <v>1717</v>
      </c>
      <c r="G372" t="b">
        <f t="shared" si="10"/>
        <v>0</v>
      </c>
      <c r="H372" t="str">
        <f t="shared" si="11"/>
        <v>Delhi</v>
      </c>
    </row>
    <row r="373" spans="1:8" x14ac:dyDescent="0.4">
      <c r="A373" s="2" t="s">
        <v>2793</v>
      </c>
      <c r="B373" s="2" t="s">
        <v>2794</v>
      </c>
      <c r="C373" s="2" t="s">
        <v>2795</v>
      </c>
      <c r="D373" s="18">
        <v>1338926087</v>
      </c>
      <c r="E373" s="2" t="s">
        <v>1698</v>
      </c>
      <c r="F373" s="2" t="s">
        <v>1717</v>
      </c>
      <c r="G373" t="b">
        <f t="shared" si="10"/>
        <v>1</v>
      </c>
      <c r="H373" t="str">
        <f t="shared" si="11"/>
        <v>Delhi</v>
      </c>
    </row>
    <row r="374" spans="1:8" x14ac:dyDescent="0.4">
      <c r="A374" s="2" t="s">
        <v>2796</v>
      </c>
      <c r="B374" s="2" t="s">
        <v>2797</v>
      </c>
      <c r="C374" s="2" t="s">
        <v>2798</v>
      </c>
      <c r="D374" s="18">
        <v>828152787304862</v>
      </c>
      <c r="E374" s="2" t="s">
        <v>1739</v>
      </c>
      <c r="F374" s="2" t="s">
        <v>1699</v>
      </c>
      <c r="G374" t="b">
        <f t="shared" si="10"/>
        <v>1</v>
      </c>
      <c r="H374" t="str">
        <f t="shared" si="11"/>
        <v>Chennai</v>
      </c>
    </row>
    <row r="375" spans="1:8" x14ac:dyDescent="0.4">
      <c r="A375" s="2" t="s">
        <v>2799</v>
      </c>
      <c r="B375" s="2" t="s">
        <v>2800</v>
      </c>
      <c r="C375" s="2" t="s">
        <v>2801</v>
      </c>
      <c r="D375" s="18">
        <v>152174653537801</v>
      </c>
      <c r="E375" s="2" t="s">
        <v>1713</v>
      </c>
      <c r="F375" s="2" t="s">
        <v>1717</v>
      </c>
      <c r="G375" t="b">
        <f t="shared" si="10"/>
        <v>1</v>
      </c>
      <c r="H375" t="str">
        <f t="shared" si="11"/>
        <v>Bangalore</v>
      </c>
    </row>
    <row r="376" spans="1:8" x14ac:dyDescent="0.4">
      <c r="A376" s="2" t="s">
        <v>2802</v>
      </c>
      <c r="B376" s="2" t="s">
        <v>2803</v>
      </c>
      <c r="C376" s="2" t="s">
        <v>1720</v>
      </c>
      <c r="D376" s="18">
        <v>915673446717762</v>
      </c>
      <c r="E376" s="2" t="s">
        <v>1713</v>
      </c>
      <c r="F376" s="2" t="s">
        <v>1717</v>
      </c>
      <c r="G376" t="b">
        <f t="shared" si="10"/>
        <v>0</v>
      </c>
      <c r="H376" t="str">
        <f t="shared" si="11"/>
        <v>Bangalore</v>
      </c>
    </row>
    <row r="377" spans="1:8" x14ac:dyDescent="0.4">
      <c r="A377" s="2" t="s">
        <v>2804</v>
      </c>
      <c r="B377" s="2" t="s">
        <v>2805</v>
      </c>
      <c r="C377" s="2" t="s">
        <v>2806</v>
      </c>
      <c r="D377" s="18">
        <v>16914336299</v>
      </c>
      <c r="E377" s="2" t="s">
        <v>1713</v>
      </c>
      <c r="F377" s="2" t="s">
        <v>1717</v>
      </c>
      <c r="G377" t="b">
        <f t="shared" si="10"/>
        <v>1</v>
      </c>
      <c r="H377" t="str">
        <f t="shared" si="11"/>
        <v>Bangalore</v>
      </c>
    </row>
    <row r="378" spans="1:8" x14ac:dyDescent="0.4">
      <c r="A378" s="2" t="s">
        <v>2807</v>
      </c>
      <c r="B378" s="2" t="s">
        <v>2808</v>
      </c>
      <c r="C378" s="2" t="s">
        <v>2809</v>
      </c>
      <c r="D378" s="18">
        <v>14664509999</v>
      </c>
      <c r="E378" s="2" t="s">
        <v>1713</v>
      </c>
      <c r="F378" s="2" t="s">
        <v>1686</v>
      </c>
      <c r="G378" t="b">
        <f t="shared" si="10"/>
        <v>1</v>
      </c>
      <c r="H378" t="str">
        <f t="shared" si="11"/>
        <v>Bangalore</v>
      </c>
    </row>
    <row r="379" spans="1:8" x14ac:dyDescent="0.4">
      <c r="A379" s="2" t="s">
        <v>2810</v>
      </c>
      <c r="B379" s="2" t="s">
        <v>2811</v>
      </c>
      <c r="C379" s="2" t="s">
        <v>2812</v>
      </c>
      <c r="D379" s="18" t="s">
        <v>2813</v>
      </c>
      <c r="E379" s="2" t="s">
        <v>1698</v>
      </c>
      <c r="F379" s="2" t="s">
        <v>1717</v>
      </c>
      <c r="G379" t="b">
        <f t="shared" si="10"/>
        <v>1</v>
      </c>
      <c r="H379" t="str">
        <f t="shared" si="11"/>
        <v>Delhi</v>
      </c>
    </row>
    <row r="380" spans="1:8" x14ac:dyDescent="0.4">
      <c r="A380" s="2" t="s">
        <v>2814</v>
      </c>
      <c r="B380" s="2" t="s">
        <v>2815</v>
      </c>
      <c r="C380" s="2" t="s">
        <v>1720</v>
      </c>
      <c r="D380" s="18" t="s">
        <v>2816</v>
      </c>
      <c r="E380" s="2" t="s">
        <v>1685</v>
      </c>
      <c r="F380" s="2" t="s">
        <v>1717</v>
      </c>
      <c r="G380" t="b">
        <f t="shared" si="10"/>
        <v>0</v>
      </c>
      <c r="H380" t="str">
        <f t="shared" si="11"/>
        <v>Kolkata</v>
      </c>
    </row>
    <row r="381" spans="1:8" x14ac:dyDescent="0.4">
      <c r="A381" s="2" t="s">
        <v>2817</v>
      </c>
      <c r="B381" s="2" t="s">
        <v>2818</v>
      </c>
      <c r="C381" s="2" t="s">
        <v>2819</v>
      </c>
      <c r="D381" s="18">
        <v>42464884997957</v>
      </c>
      <c r="E381" s="2" t="s">
        <v>1730</v>
      </c>
      <c r="F381" s="2" t="s">
        <v>1717</v>
      </c>
      <c r="G381" t="b">
        <f t="shared" si="10"/>
        <v>1</v>
      </c>
      <c r="H381" t="str">
        <f t="shared" si="11"/>
        <v>Pune</v>
      </c>
    </row>
    <row r="382" spans="1:8" x14ac:dyDescent="0.4">
      <c r="A382" s="2" t="s">
        <v>2820</v>
      </c>
      <c r="B382" s="2" t="s">
        <v>2821</v>
      </c>
      <c r="C382" s="2" t="s">
        <v>2822</v>
      </c>
      <c r="D382" s="18" t="s">
        <v>3817</v>
      </c>
      <c r="E382" s="2" t="s">
        <v>1730</v>
      </c>
      <c r="F382" s="2" t="s">
        <v>1717</v>
      </c>
      <c r="G382" t="b">
        <f t="shared" si="10"/>
        <v>1</v>
      </c>
      <c r="H382" t="str">
        <f t="shared" si="11"/>
        <v>Pune</v>
      </c>
    </row>
    <row r="383" spans="1:8" x14ac:dyDescent="0.4">
      <c r="A383" s="2" t="s">
        <v>2823</v>
      </c>
      <c r="B383" s="2" t="s">
        <v>2824</v>
      </c>
      <c r="C383" s="2" t="s">
        <v>2825</v>
      </c>
      <c r="D383" s="18">
        <v>10221797891</v>
      </c>
      <c r="E383" s="2" t="s">
        <v>1690</v>
      </c>
      <c r="F383" s="2" t="s">
        <v>1686</v>
      </c>
      <c r="G383" t="b">
        <f t="shared" si="10"/>
        <v>1</v>
      </c>
      <c r="H383" t="str">
        <f t="shared" si="11"/>
        <v>Hyderabad</v>
      </c>
    </row>
    <row r="384" spans="1:8" x14ac:dyDescent="0.4">
      <c r="A384" s="2" t="s">
        <v>2826</v>
      </c>
      <c r="B384" s="2" t="s">
        <v>2827</v>
      </c>
      <c r="C384" s="2" t="s">
        <v>2828</v>
      </c>
      <c r="D384" s="18" t="s">
        <v>3818</v>
      </c>
      <c r="E384" s="2" t="s">
        <v>1730</v>
      </c>
      <c r="F384" s="2" t="s">
        <v>1717</v>
      </c>
      <c r="G384" t="b">
        <f t="shared" si="10"/>
        <v>1</v>
      </c>
      <c r="H384" t="str">
        <f t="shared" si="11"/>
        <v>Pune</v>
      </c>
    </row>
    <row r="385" spans="1:8" x14ac:dyDescent="0.4">
      <c r="A385" s="2" t="s">
        <v>2829</v>
      </c>
      <c r="B385" s="2" t="s">
        <v>2830</v>
      </c>
      <c r="C385" s="2" t="s">
        <v>2831</v>
      </c>
      <c r="D385" s="18">
        <v>1984451436728680</v>
      </c>
      <c r="E385" s="2" t="s">
        <v>1685</v>
      </c>
      <c r="F385" s="2" t="s">
        <v>1691</v>
      </c>
      <c r="G385" t="b">
        <f t="shared" si="10"/>
        <v>1</v>
      </c>
      <c r="H385" t="str">
        <f t="shared" si="11"/>
        <v>Kolkata</v>
      </c>
    </row>
    <row r="386" spans="1:8" x14ac:dyDescent="0.4">
      <c r="A386" s="2" t="s">
        <v>2832</v>
      </c>
      <c r="B386" s="2" t="s">
        <v>2833</v>
      </c>
      <c r="C386" s="2" t="s">
        <v>2834</v>
      </c>
      <c r="D386" s="18">
        <v>2303885681</v>
      </c>
      <c r="E386" s="2" t="s">
        <v>1685</v>
      </c>
      <c r="F386" s="2" t="s">
        <v>1691</v>
      </c>
      <c r="G386" t="b">
        <f t="shared" ref="G386:G449" si="12">ISNUMBER(SEARCH("@",C386))</f>
        <v>1</v>
      </c>
      <c r="H386" t="str">
        <f t="shared" si="11"/>
        <v>Kolkata</v>
      </c>
    </row>
    <row r="387" spans="1:8" x14ac:dyDescent="0.4">
      <c r="A387" s="2" t="s">
        <v>2835</v>
      </c>
      <c r="B387" s="2" t="s">
        <v>2836</v>
      </c>
      <c r="C387" s="2" t="s">
        <v>2837</v>
      </c>
      <c r="D387" s="18">
        <v>1193978145900990</v>
      </c>
      <c r="E387" s="2" t="s">
        <v>1739</v>
      </c>
      <c r="F387" s="2" t="s">
        <v>1691</v>
      </c>
      <c r="G387" t="b">
        <f t="shared" si="12"/>
        <v>1</v>
      </c>
      <c r="H387" t="str">
        <f t="shared" ref="H387:H450" si="13">PROPER(E387)</f>
        <v>Chennai</v>
      </c>
    </row>
    <row r="388" spans="1:8" x14ac:dyDescent="0.4">
      <c r="A388" s="2" t="s">
        <v>2838</v>
      </c>
      <c r="B388" s="2" t="s">
        <v>2839</v>
      </c>
      <c r="C388" s="2" t="s">
        <v>2840</v>
      </c>
      <c r="D388" s="18">
        <v>7790552866</v>
      </c>
      <c r="E388" s="2" t="s">
        <v>1703</v>
      </c>
      <c r="F388" s="2" t="s">
        <v>1699</v>
      </c>
      <c r="G388" t="b">
        <f t="shared" si="12"/>
        <v>1</v>
      </c>
      <c r="H388" t="str">
        <f t="shared" si="13"/>
        <v>Mumbai</v>
      </c>
    </row>
    <row r="389" spans="1:8" x14ac:dyDescent="0.4">
      <c r="A389" s="2" t="s">
        <v>2841</v>
      </c>
      <c r="B389" s="2" t="s">
        <v>2842</v>
      </c>
      <c r="C389" s="2" t="s">
        <v>2843</v>
      </c>
      <c r="D389" s="18">
        <v>13351588070</v>
      </c>
      <c r="E389" s="2" t="s">
        <v>1703</v>
      </c>
      <c r="F389" s="2" t="s">
        <v>1691</v>
      </c>
      <c r="G389" t="b">
        <f t="shared" si="12"/>
        <v>1</v>
      </c>
      <c r="H389" t="str">
        <f t="shared" si="13"/>
        <v>Mumbai</v>
      </c>
    </row>
    <row r="390" spans="1:8" x14ac:dyDescent="0.4">
      <c r="A390" s="2" t="s">
        <v>2844</v>
      </c>
      <c r="B390" s="2" t="s">
        <v>2845</v>
      </c>
      <c r="C390" s="2" t="s">
        <v>2846</v>
      </c>
      <c r="D390" s="18">
        <v>1532601193910380</v>
      </c>
      <c r="E390" s="2" t="s">
        <v>1739</v>
      </c>
      <c r="F390" s="2" t="s">
        <v>1691</v>
      </c>
      <c r="G390" t="b">
        <f t="shared" si="12"/>
        <v>1</v>
      </c>
      <c r="H390" t="str">
        <f t="shared" si="13"/>
        <v>Chennai</v>
      </c>
    </row>
    <row r="391" spans="1:8" x14ac:dyDescent="0.4">
      <c r="A391" s="2" t="s">
        <v>2847</v>
      </c>
      <c r="B391" s="2" t="s">
        <v>2848</v>
      </c>
      <c r="C391" s="2" t="s">
        <v>2849</v>
      </c>
      <c r="D391" s="18">
        <v>17425513609</v>
      </c>
      <c r="E391" s="2" t="s">
        <v>1713</v>
      </c>
      <c r="F391" s="2" t="s">
        <v>1699</v>
      </c>
      <c r="G391" t="b">
        <f t="shared" si="12"/>
        <v>1</v>
      </c>
      <c r="H391" t="str">
        <f t="shared" si="13"/>
        <v>Bangalore</v>
      </c>
    </row>
    <row r="392" spans="1:8" x14ac:dyDescent="0.4">
      <c r="A392" s="2" t="s">
        <v>2850</v>
      </c>
      <c r="B392" s="2" t="s">
        <v>2851</v>
      </c>
      <c r="C392" s="2" t="s">
        <v>2852</v>
      </c>
      <c r="D392" s="18" t="s">
        <v>2853</v>
      </c>
      <c r="E392" s="2" t="s">
        <v>1690</v>
      </c>
      <c r="F392" s="2" t="s">
        <v>1686</v>
      </c>
      <c r="G392" t="b">
        <f t="shared" si="12"/>
        <v>1</v>
      </c>
      <c r="H392" t="str">
        <f t="shared" si="13"/>
        <v>Hyderabad</v>
      </c>
    </row>
    <row r="393" spans="1:8" x14ac:dyDescent="0.4">
      <c r="A393" s="2" t="s">
        <v>2854</v>
      </c>
      <c r="B393" s="2" t="s">
        <v>2855</v>
      </c>
      <c r="C393" s="2" t="s">
        <v>2856</v>
      </c>
      <c r="D393" s="18" t="s">
        <v>3819</v>
      </c>
      <c r="E393" s="2" t="s">
        <v>1698</v>
      </c>
      <c r="F393" s="2" t="s">
        <v>1686</v>
      </c>
      <c r="G393" t="b">
        <f t="shared" si="12"/>
        <v>1</v>
      </c>
      <c r="H393" t="str">
        <f t="shared" si="13"/>
        <v>Delhi</v>
      </c>
    </row>
    <row r="394" spans="1:8" x14ac:dyDescent="0.4">
      <c r="A394" s="2" t="s">
        <v>2857</v>
      </c>
      <c r="B394" s="2" t="s">
        <v>2858</v>
      </c>
      <c r="C394" s="2" t="s">
        <v>2859</v>
      </c>
      <c r="D394" s="18" t="s">
        <v>3820</v>
      </c>
      <c r="E394" s="2" t="s">
        <v>1739</v>
      </c>
      <c r="F394" s="2" t="s">
        <v>1699</v>
      </c>
      <c r="G394" t="b">
        <f t="shared" si="12"/>
        <v>1</v>
      </c>
      <c r="H394" t="str">
        <f t="shared" si="13"/>
        <v>Chennai</v>
      </c>
    </row>
    <row r="395" spans="1:8" x14ac:dyDescent="0.4">
      <c r="A395" s="2" t="s">
        <v>2860</v>
      </c>
      <c r="B395" s="2" t="s">
        <v>2861</v>
      </c>
      <c r="C395" s="2" t="s">
        <v>2862</v>
      </c>
      <c r="D395" s="18">
        <v>10058561547315</v>
      </c>
      <c r="E395" s="2" t="s">
        <v>1730</v>
      </c>
      <c r="F395" s="2" t="s">
        <v>1686</v>
      </c>
      <c r="G395" t="b">
        <f t="shared" si="12"/>
        <v>1</v>
      </c>
      <c r="H395" t="str">
        <f t="shared" si="13"/>
        <v>Pune</v>
      </c>
    </row>
    <row r="396" spans="1:8" x14ac:dyDescent="0.4">
      <c r="A396" s="2" t="s">
        <v>2863</v>
      </c>
      <c r="B396" s="2" t="s">
        <v>2864</v>
      </c>
      <c r="C396" s="2" t="s">
        <v>2865</v>
      </c>
      <c r="D396" s="18" t="s">
        <v>3821</v>
      </c>
      <c r="E396" s="2" t="s">
        <v>1730</v>
      </c>
      <c r="F396" s="2" t="s">
        <v>1699</v>
      </c>
      <c r="G396" t="b">
        <f t="shared" si="12"/>
        <v>1</v>
      </c>
      <c r="H396" t="str">
        <f t="shared" si="13"/>
        <v>Pune</v>
      </c>
    </row>
    <row r="397" spans="1:8" x14ac:dyDescent="0.4">
      <c r="A397" s="2" t="s">
        <v>2866</v>
      </c>
      <c r="B397" s="2" t="s">
        <v>2867</v>
      </c>
      <c r="C397" s="2" t="s">
        <v>2868</v>
      </c>
      <c r="D397" s="18">
        <v>1902837727028960</v>
      </c>
      <c r="E397" s="2" t="s">
        <v>1698</v>
      </c>
      <c r="F397" s="2" t="s">
        <v>1717</v>
      </c>
      <c r="G397" t="b">
        <f t="shared" si="12"/>
        <v>1</v>
      </c>
      <c r="H397" t="str">
        <f t="shared" si="13"/>
        <v>Delhi</v>
      </c>
    </row>
    <row r="398" spans="1:8" x14ac:dyDescent="0.4">
      <c r="A398" s="2" t="s">
        <v>2869</v>
      </c>
      <c r="B398" s="2" t="s">
        <v>2870</v>
      </c>
      <c r="C398" s="2" t="s">
        <v>2871</v>
      </c>
      <c r="D398" s="18" t="s">
        <v>3822</v>
      </c>
      <c r="E398" s="2" t="s">
        <v>1703</v>
      </c>
      <c r="F398" s="2" t="s">
        <v>1686</v>
      </c>
      <c r="G398" t="b">
        <f t="shared" si="12"/>
        <v>1</v>
      </c>
      <c r="H398" t="str">
        <f t="shared" si="13"/>
        <v>Mumbai</v>
      </c>
    </row>
    <row r="399" spans="1:8" x14ac:dyDescent="0.4">
      <c r="A399" s="2" t="s">
        <v>2872</v>
      </c>
      <c r="B399" s="2" t="s">
        <v>2873</v>
      </c>
      <c r="C399" s="2" t="s">
        <v>2874</v>
      </c>
      <c r="D399" s="18">
        <v>17535846405103</v>
      </c>
      <c r="E399" s="2" t="s">
        <v>1739</v>
      </c>
      <c r="F399" s="2" t="s">
        <v>1699</v>
      </c>
      <c r="G399" t="b">
        <f t="shared" si="12"/>
        <v>1</v>
      </c>
      <c r="H399" t="str">
        <f t="shared" si="13"/>
        <v>Chennai</v>
      </c>
    </row>
    <row r="400" spans="1:8" x14ac:dyDescent="0.4">
      <c r="A400" s="2" t="s">
        <v>2875</v>
      </c>
      <c r="B400" s="2" t="s">
        <v>2876</v>
      </c>
      <c r="C400" s="2" t="s">
        <v>2877</v>
      </c>
      <c r="D400" s="18">
        <v>1880273042763620</v>
      </c>
      <c r="E400" s="2" t="s">
        <v>1713</v>
      </c>
      <c r="F400" s="2" t="s">
        <v>1717</v>
      </c>
      <c r="G400" t="b">
        <f t="shared" si="12"/>
        <v>1</v>
      </c>
      <c r="H400" t="str">
        <f t="shared" si="13"/>
        <v>Bangalore</v>
      </c>
    </row>
    <row r="401" spans="1:8" x14ac:dyDescent="0.4">
      <c r="A401" s="2" t="s">
        <v>2878</v>
      </c>
      <c r="B401" s="2" t="s">
        <v>2879</v>
      </c>
      <c r="C401" s="2" t="s">
        <v>2880</v>
      </c>
      <c r="D401" s="18">
        <v>4447189395</v>
      </c>
      <c r="E401" s="2" t="s">
        <v>1690</v>
      </c>
      <c r="F401" s="2" t="s">
        <v>1717</v>
      </c>
      <c r="G401" t="b">
        <f t="shared" si="12"/>
        <v>1</v>
      </c>
      <c r="H401" t="str">
        <f t="shared" si="13"/>
        <v>Hyderabad</v>
      </c>
    </row>
    <row r="402" spans="1:8" x14ac:dyDescent="0.4">
      <c r="A402" s="2" t="s">
        <v>2881</v>
      </c>
      <c r="B402" s="2" t="s">
        <v>2882</v>
      </c>
      <c r="C402" s="2" t="s">
        <v>2883</v>
      </c>
      <c r="D402" s="18">
        <v>969067649</v>
      </c>
      <c r="E402" s="2" t="s">
        <v>1685</v>
      </c>
      <c r="F402" s="2" t="s">
        <v>1691</v>
      </c>
      <c r="G402" t="b">
        <f t="shared" si="12"/>
        <v>1</v>
      </c>
      <c r="H402" t="str">
        <f t="shared" si="13"/>
        <v>Kolkata</v>
      </c>
    </row>
    <row r="403" spans="1:8" x14ac:dyDescent="0.4">
      <c r="A403" s="2" t="s">
        <v>2884</v>
      </c>
      <c r="B403" s="2" t="s">
        <v>2885</v>
      </c>
      <c r="C403" s="2" t="s">
        <v>2886</v>
      </c>
      <c r="D403" s="18">
        <v>109228849874551</v>
      </c>
      <c r="E403" s="2" t="s">
        <v>1703</v>
      </c>
      <c r="F403" s="2" t="s">
        <v>1699</v>
      </c>
      <c r="G403" t="b">
        <f t="shared" si="12"/>
        <v>1</v>
      </c>
      <c r="H403" t="str">
        <f t="shared" si="13"/>
        <v>Mumbai</v>
      </c>
    </row>
    <row r="404" spans="1:8" x14ac:dyDescent="0.4">
      <c r="A404" s="2" t="s">
        <v>2887</v>
      </c>
      <c r="B404" s="2" t="s">
        <v>2888</v>
      </c>
      <c r="C404" s="2" t="s">
        <v>2889</v>
      </c>
      <c r="D404" s="18">
        <v>13587271743068</v>
      </c>
      <c r="E404" s="2" t="s">
        <v>1690</v>
      </c>
      <c r="F404" s="2" t="s">
        <v>1699</v>
      </c>
      <c r="G404" t="b">
        <f t="shared" si="12"/>
        <v>1</v>
      </c>
      <c r="H404" t="str">
        <f t="shared" si="13"/>
        <v>Hyderabad</v>
      </c>
    </row>
    <row r="405" spans="1:8" x14ac:dyDescent="0.4">
      <c r="A405" s="2" t="s">
        <v>2890</v>
      </c>
      <c r="B405" s="2" t="s">
        <v>2891</v>
      </c>
      <c r="C405" s="2" t="s">
        <v>2892</v>
      </c>
      <c r="D405" s="18">
        <v>11164034398</v>
      </c>
      <c r="E405" s="2" t="s">
        <v>1713</v>
      </c>
      <c r="F405" s="2" t="s">
        <v>1691</v>
      </c>
      <c r="G405" t="b">
        <f t="shared" si="12"/>
        <v>1</v>
      </c>
      <c r="H405" t="str">
        <f t="shared" si="13"/>
        <v>Bangalore</v>
      </c>
    </row>
    <row r="406" spans="1:8" x14ac:dyDescent="0.4">
      <c r="A406" s="2" t="s">
        <v>2893</v>
      </c>
      <c r="B406" s="2" t="s">
        <v>2894</v>
      </c>
      <c r="C406" s="2" t="s">
        <v>2895</v>
      </c>
      <c r="D406" s="18">
        <v>1818738775833360</v>
      </c>
      <c r="E406" s="2" t="s">
        <v>1730</v>
      </c>
      <c r="F406" s="2" t="s">
        <v>1686</v>
      </c>
      <c r="G406" t="b">
        <f t="shared" si="12"/>
        <v>1</v>
      </c>
      <c r="H406" t="str">
        <f t="shared" si="13"/>
        <v>Pune</v>
      </c>
    </row>
    <row r="407" spans="1:8" x14ac:dyDescent="0.4">
      <c r="A407" s="2" t="s">
        <v>2896</v>
      </c>
      <c r="B407" s="2" t="s">
        <v>2897</v>
      </c>
      <c r="C407" s="2" t="s">
        <v>2898</v>
      </c>
      <c r="D407" s="18">
        <v>1770413090915380</v>
      </c>
      <c r="E407" s="2" t="s">
        <v>1739</v>
      </c>
      <c r="F407" s="2" t="s">
        <v>1699</v>
      </c>
      <c r="G407" t="b">
        <f t="shared" si="12"/>
        <v>1</v>
      </c>
      <c r="H407" t="str">
        <f t="shared" si="13"/>
        <v>Chennai</v>
      </c>
    </row>
    <row r="408" spans="1:8" x14ac:dyDescent="0.4">
      <c r="A408" s="2" t="s">
        <v>2899</v>
      </c>
      <c r="B408" s="2" t="s">
        <v>2900</v>
      </c>
      <c r="C408" s="2" t="s">
        <v>1720</v>
      </c>
      <c r="D408" s="18" t="s">
        <v>2901</v>
      </c>
      <c r="E408" s="2" t="s">
        <v>1713</v>
      </c>
      <c r="F408" s="2" t="s">
        <v>1717</v>
      </c>
      <c r="G408" t="b">
        <f t="shared" si="12"/>
        <v>0</v>
      </c>
      <c r="H408" t="str">
        <f t="shared" si="13"/>
        <v>Bangalore</v>
      </c>
    </row>
    <row r="409" spans="1:8" x14ac:dyDescent="0.4">
      <c r="A409" s="2" t="s">
        <v>2902</v>
      </c>
      <c r="B409" s="2" t="s">
        <v>2903</v>
      </c>
      <c r="C409" s="2" t="s">
        <v>2904</v>
      </c>
      <c r="D409" s="18">
        <v>2319057720</v>
      </c>
      <c r="E409" s="2" t="s">
        <v>1703</v>
      </c>
      <c r="F409" s="2" t="s">
        <v>1699</v>
      </c>
      <c r="G409" t="b">
        <f t="shared" si="12"/>
        <v>1</v>
      </c>
      <c r="H409" t="str">
        <f t="shared" si="13"/>
        <v>Mumbai</v>
      </c>
    </row>
    <row r="410" spans="1:8" x14ac:dyDescent="0.4">
      <c r="A410" s="2" t="s">
        <v>2905</v>
      </c>
      <c r="B410" s="2" t="s">
        <v>2906</v>
      </c>
      <c r="C410" s="2" t="s">
        <v>2907</v>
      </c>
      <c r="D410" s="18">
        <v>4100794193245</v>
      </c>
      <c r="E410" s="2" t="s">
        <v>1730</v>
      </c>
      <c r="F410" s="2" t="s">
        <v>1691</v>
      </c>
      <c r="G410" t="b">
        <f t="shared" si="12"/>
        <v>1</v>
      </c>
      <c r="H410" t="str">
        <f t="shared" si="13"/>
        <v>Pune</v>
      </c>
    </row>
    <row r="411" spans="1:8" x14ac:dyDescent="0.4">
      <c r="A411" s="2" t="s">
        <v>2908</v>
      </c>
      <c r="B411" s="2" t="s">
        <v>2909</v>
      </c>
      <c r="C411" s="2" t="s">
        <v>2910</v>
      </c>
      <c r="D411" s="18">
        <v>1381097941224870</v>
      </c>
      <c r="E411" s="2" t="s">
        <v>1685</v>
      </c>
      <c r="F411" s="2" t="s">
        <v>1699</v>
      </c>
      <c r="G411" t="b">
        <f t="shared" si="12"/>
        <v>1</v>
      </c>
      <c r="H411" t="str">
        <f t="shared" si="13"/>
        <v>Kolkata</v>
      </c>
    </row>
    <row r="412" spans="1:8" x14ac:dyDescent="0.4">
      <c r="A412" s="2" t="s">
        <v>2911</v>
      </c>
      <c r="B412" s="2" t="s">
        <v>2912</v>
      </c>
      <c r="C412" s="2" t="s">
        <v>2913</v>
      </c>
      <c r="D412" s="18">
        <v>18726496322</v>
      </c>
      <c r="E412" s="2" t="s">
        <v>1685</v>
      </c>
      <c r="F412" s="2" t="s">
        <v>1686</v>
      </c>
      <c r="G412" t="b">
        <f t="shared" si="12"/>
        <v>1</v>
      </c>
      <c r="H412" t="str">
        <f t="shared" si="13"/>
        <v>Kolkata</v>
      </c>
    </row>
    <row r="413" spans="1:8" x14ac:dyDescent="0.4">
      <c r="A413" s="2" t="s">
        <v>2914</v>
      </c>
      <c r="B413" s="2" t="s">
        <v>645</v>
      </c>
      <c r="C413" s="2" t="s">
        <v>1720</v>
      </c>
      <c r="D413" s="18" t="s">
        <v>3823</v>
      </c>
      <c r="E413" s="2" t="s">
        <v>1713</v>
      </c>
      <c r="F413" s="2" t="s">
        <v>1691</v>
      </c>
      <c r="G413" t="b">
        <f t="shared" si="12"/>
        <v>0</v>
      </c>
      <c r="H413" t="str">
        <f t="shared" si="13"/>
        <v>Bangalore</v>
      </c>
    </row>
    <row r="414" spans="1:8" x14ac:dyDescent="0.4">
      <c r="A414" s="2" t="s">
        <v>2915</v>
      </c>
      <c r="B414" s="2" t="s">
        <v>2916</v>
      </c>
      <c r="C414" s="2" t="s">
        <v>2917</v>
      </c>
      <c r="D414" s="18">
        <v>19003468616</v>
      </c>
      <c r="E414" s="2" t="s">
        <v>1730</v>
      </c>
      <c r="F414" s="2" t="s">
        <v>1691</v>
      </c>
      <c r="G414" t="b">
        <f t="shared" si="12"/>
        <v>1</v>
      </c>
      <c r="H414" t="str">
        <f t="shared" si="13"/>
        <v>Pune</v>
      </c>
    </row>
    <row r="415" spans="1:8" x14ac:dyDescent="0.4">
      <c r="A415" s="2" t="s">
        <v>2918</v>
      </c>
      <c r="B415" s="2" t="s">
        <v>2919</v>
      </c>
      <c r="C415" s="2" t="s">
        <v>2920</v>
      </c>
      <c r="D415" s="18">
        <v>702867202</v>
      </c>
      <c r="E415" s="2" t="s">
        <v>1685</v>
      </c>
      <c r="F415" s="2" t="s">
        <v>1717</v>
      </c>
      <c r="G415" t="b">
        <f t="shared" si="12"/>
        <v>1</v>
      </c>
      <c r="H415" t="str">
        <f t="shared" si="13"/>
        <v>Kolkata</v>
      </c>
    </row>
    <row r="416" spans="1:8" x14ac:dyDescent="0.4">
      <c r="A416" s="2" t="s">
        <v>2921</v>
      </c>
      <c r="B416" s="2" t="s">
        <v>2922</v>
      </c>
      <c r="C416" s="2" t="s">
        <v>2923</v>
      </c>
      <c r="D416" s="18">
        <v>1009536621953680</v>
      </c>
      <c r="E416" s="2" t="s">
        <v>1730</v>
      </c>
      <c r="F416" s="2" t="s">
        <v>1699</v>
      </c>
      <c r="G416" t="b">
        <f t="shared" si="12"/>
        <v>1</v>
      </c>
      <c r="H416" t="str">
        <f t="shared" si="13"/>
        <v>Pune</v>
      </c>
    </row>
    <row r="417" spans="1:8" x14ac:dyDescent="0.4">
      <c r="A417" s="2" t="s">
        <v>2924</v>
      </c>
      <c r="B417" s="2" t="s">
        <v>2925</v>
      </c>
      <c r="C417" s="2" t="s">
        <v>2926</v>
      </c>
      <c r="D417" s="18" t="s">
        <v>2927</v>
      </c>
      <c r="E417" s="2" t="s">
        <v>1690</v>
      </c>
      <c r="F417" s="2" t="s">
        <v>1691</v>
      </c>
      <c r="G417" t="b">
        <f t="shared" si="12"/>
        <v>1</v>
      </c>
      <c r="H417" t="str">
        <f t="shared" si="13"/>
        <v>Hyderabad</v>
      </c>
    </row>
    <row r="418" spans="1:8" x14ac:dyDescent="0.4">
      <c r="A418" s="2" t="s">
        <v>2928</v>
      </c>
      <c r="B418" s="2" t="s">
        <v>2929</v>
      </c>
      <c r="C418" s="2" t="s">
        <v>1720</v>
      </c>
      <c r="D418" s="18">
        <v>722113869</v>
      </c>
      <c r="E418" s="2" t="s">
        <v>1703</v>
      </c>
      <c r="F418" s="2" t="s">
        <v>1686</v>
      </c>
      <c r="G418" t="b">
        <f t="shared" si="12"/>
        <v>0</v>
      </c>
      <c r="H418" t="str">
        <f t="shared" si="13"/>
        <v>Mumbai</v>
      </c>
    </row>
    <row r="419" spans="1:8" x14ac:dyDescent="0.4">
      <c r="A419" s="2" t="s">
        <v>2930</v>
      </c>
      <c r="B419" s="2" t="s">
        <v>2931</v>
      </c>
      <c r="C419" s="2" t="s">
        <v>2932</v>
      </c>
      <c r="D419" s="18" t="s">
        <v>2933</v>
      </c>
      <c r="E419" s="2" t="s">
        <v>1713</v>
      </c>
      <c r="F419" s="2" t="s">
        <v>1686</v>
      </c>
      <c r="G419" t="b">
        <f t="shared" si="12"/>
        <v>1</v>
      </c>
      <c r="H419" t="str">
        <f t="shared" si="13"/>
        <v>Bangalore</v>
      </c>
    </row>
    <row r="420" spans="1:8" x14ac:dyDescent="0.4">
      <c r="A420" s="2" t="s">
        <v>2934</v>
      </c>
      <c r="B420" s="2" t="s">
        <v>2935</v>
      </c>
      <c r="C420" s="2" t="s">
        <v>2936</v>
      </c>
      <c r="D420" s="18">
        <v>461719281707443</v>
      </c>
      <c r="E420" s="2" t="s">
        <v>1739</v>
      </c>
      <c r="F420" s="2" t="s">
        <v>1717</v>
      </c>
      <c r="G420" t="b">
        <f t="shared" si="12"/>
        <v>1</v>
      </c>
      <c r="H420" t="str">
        <f t="shared" si="13"/>
        <v>Chennai</v>
      </c>
    </row>
    <row r="421" spans="1:8" x14ac:dyDescent="0.4">
      <c r="A421" s="2" t="s">
        <v>2937</v>
      </c>
      <c r="B421" s="2" t="s">
        <v>2938</v>
      </c>
      <c r="C421" s="2" t="s">
        <v>2939</v>
      </c>
      <c r="D421" s="18" t="s">
        <v>3824</v>
      </c>
      <c r="E421" s="2" t="s">
        <v>1698</v>
      </c>
      <c r="F421" s="2" t="s">
        <v>1686</v>
      </c>
      <c r="G421" t="b">
        <f t="shared" si="12"/>
        <v>1</v>
      </c>
      <c r="H421" t="str">
        <f t="shared" si="13"/>
        <v>Delhi</v>
      </c>
    </row>
    <row r="422" spans="1:8" x14ac:dyDescent="0.4">
      <c r="A422" s="2" t="s">
        <v>2940</v>
      </c>
      <c r="B422" s="2" t="s">
        <v>2941</v>
      </c>
      <c r="C422" s="2" t="s">
        <v>2942</v>
      </c>
      <c r="D422" s="18">
        <v>9412094477</v>
      </c>
      <c r="E422" s="2" t="s">
        <v>1713</v>
      </c>
      <c r="F422" s="2" t="s">
        <v>1717</v>
      </c>
      <c r="G422" t="b">
        <f t="shared" si="12"/>
        <v>1</v>
      </c>
      <c r="H422" t="str">
        <f t="shared" si="13"/>
        <v>Bangalore</v>
      </c>
    </row>
    <row r="423" spans="1:8" x14ac:dyDescent="0.4">
      <c r="A423" s="2" t="s">
        <v>2943</v>
      </c>
      <c r="B423" s="2" t="s">
        <v>2944</v>
      </c>
      <c r="C423" s="2" t="s">
        <v>2945</v>
      </c>
      <c r="D423" s="18" t="s">
        <v>3825</v>
      </c>
      <c r="E423" s="2" t="s">
        <v>1730</v>
      </c>
      <c r="F423" s="2" t="s">
        <v>1686</v>
      </c>
      <c r="G423" t="b">
        <f t="shared" si="12"/>
        <v>1</v>
      </c>
      <c r="H423" t="str">
        <f t="shared" si="13"/>
        <v>Pune</v>
      </c>
    </row>
    <row r="424" spans="1:8" x14ac:dyDescent="0.4">
      <c r="A424" s="2" t="s">
        <v>2946</v>
      </c>
      <c r="B424" s="2" t="s">
        <v>2947</v>
      </c>
      <c r="C424" s="2" t="s">
        <v>2948</v>
      </c>
      <c r="D424" s="18" t="s">
        <v>3826</v>
      </c>
      <c r="E424" s="2" t="s">
        <v>1703</v>
      </c>
      <c r="F424" s="2" t="s">
        <v>1699</v>
      </c>
      <c r="G424" t="b">
        <f t="shared" si="12"/>
        <v>1</v>
      </c>
      <c r="H424" t="str">
        <f t="shared" si="13"/>
        <v>Mumbai</v>
      </c>
    </row>
    <row r="425" spans="1:8" x14ac:dyDescent="0.4">
      <c r="A425" s="2" t="s">
        <v>2949</v>
      </c>
      <c r="B425" s="2" t="s">
        <v>2950</v>
      </c>
      <c r="C425" s="2" t="s">
        <v>2951</v>
      </c>
      <c r="D425" s="18" t="s">
        <v>3827</v>
      </c>
      <c r="E425" s="2" t="s">
        <v>1703</v>
      </c>
      <c r="F425" s="2" t="s">
        <v>1686</v>
      </c>
      <c r="G425" t="b">
        <f t="shared" si="12"/>
        <v>1</v>
      </c>
      <c r="H425" t="str">
        <f t="shared" si="13"/>
        <v>Mumbai</v>
      </c>
    </row>
    <row r="426" spans="1:8" x14ac:dyDescent="0.4">
      <c r="A426" s="2" t="s">
        <v>2952</v>
      </c>
      <c r="B426" s="2" t="s">
        <v>2953</v>
      </c>
      <c r="C426" s="2" t="s">
        <v>2954</v>
      </c>
      <c r="D426" s="18">
        <v>19126864986</v>
      </c>
      <c r="E426" s="2" t="s">
        <v>1698</v>
      </c>
      <c r="F426" s="2" t="s">
        <v>1686</v>
      </c>
      <c r="G426" t="b">
        <f t="shared" si="12"/>
        <v>1</v>
      </c>
      <c r="H426" t="str">
        <f t="shared" si="13"/>
        <v>Delhi</v>
      </c>
    </row>
    <row r="427" spans="1:8" x14ac:dyDescent="0.4">
      <c r="A427" s="2" t="s">
        <v>2955</v>
      </c>
      <c r="B427" s="2" t="s">
        <v>2956</v>
      </c>
      <c r="C427" s="2" t="s">
        <v>1720</v>
      </c>
      <c r="D427" s="18">
        <v>7868623760088</v>
      </c>
      <c r="E427" s="2" t="s">
        <v>1685</v>
      </c>
      <c r="F427" s="2" t="s">
        <v>1717</v>
      </c>
      <c r="G427" t="b">
        <f t="shared" si="12"/>
        <v>0</v>
      </c>
      <c r="H427" t="str">
        <f t="shared" si="13"/>
        <v>Kolkata</v>
      </c>
    </row>
    <row r="428" spans="1:8" x14ac:dyDescent="0.4">
      <c r="A428" s="2" t="s">
        <v>2957</v>
      </c>
      <c r="B428" s="2" t="s">
        <v>2958</v>
      </c>
      <c r="C428" s="2" t="s">
        <v>2959</v>
      </c>
      <c r="D428" s="18">
        <v>4740837819190</v>
      </c>
      <c r="E428" s="2" t="s">
        <v>1730</v>
      </c>
      <c r="F428" s="2" t="s">
        <v>1699</v>
      </c>
      <c r="G428" t="b">
        <f t="shared" si="12"/>
        <v>1</v>
      </c>
      <c r="H428" t="str">
        <f t="shared" si="13"/>
        <v>Pune</v>
      </c>
    </row>
    <row r="429" spans="1:8" x14ac:dyDescent="0.4">
      <c r="A429" s="2" t="s">
        <v>2960</v>
      </c>
      <c r="B429" s="2" t="s">
        <v>2961</v>
      </c>
      <c r="C429" s="2" t="s">
        <v>1720</v>
      </c>
      <c r="D429" s="18">
        <v>49921640069836</v>
      </c>
      <c r="E429" s="2" t="s">
        <v>1730</v>
      </c>
      <c r="F429" s="2" t="s">
        <v>1699</v>
      </c>
      <c r="G429" t="b">
        <f t="shared" si="12"/>
        <v>0</v>
      </c>
      <c r="H429" t="str">
        <f t="shared" si="13"/>
        <v>Pune</v>
      </c>
    </row>
    <row r="430" spans="1:8" x14ac:dyDescent="0.4">
      <c r="A430" s="2" t="s">
        <v>2962</v>
      </c>
      <c r="B430" s="2" t="s">
        <v>2963</v>
      </c>
      <c r="C430" s="2" t="s">
        <v>2964</v>
      </c>
      <c r="D430" s="18">
        <v>12353484864708</v>
      </c>
      <c r="E430" s="2" t="s">
        <v>1703</v>
      </c>
      <c r="F430" s="2" t="s">
        <v>1717</v>
      </c>
      <c r="G430" t="b">
        <f t="shared" si="12"/>
        <v>1</v>
      </c>
      <c r="H430" t="str">
        <f t="shared" si="13"/>
        <v>Mumbai</v>
      </c>
    </row>
    <row r="431" spans="1:8" x14ac:dyDescent="0.4">
      <c r="A431" s="2" t="s">
        <v>2965</v>
      </c>
      <c r="B431" s="2" t="s">
        <v>2966</v>
      </c>
      <c r="C431" s="2" t="s">
        <v>2967</v>
      </c>
      <c r="D431" s="18" t="s">
        <v>3828</v>
      </c>
      <c r="E431" s="2" t="s">
        <v>1739</v>
      </c>
      <c r="F431" s="2" t="s">
        <v>1699</v>
      </c>
      <c r="G431" t="b">
        <f t="shared" si="12"/>
        <v>1</v>
      </c>
      <c r="H431" t="str">
        <f t="shared" si="13"/>
        <v>Chennai</v>
      </c>
    </row>
    <row r="432" spans="1:8" x14ac:dyDescent="0.4">
      <c r="A432" s="2" t="s">
        <v>2968</v>
      </c>
      <c r="B432" s="2" t="s">
        <v>2969</v>
      </c>
      <c r="C432" s="2" t="s">
        <v>2970</v>
      </c>
      <c r="D432" s="18">
        <v>10212372055033</v>
      </c>
      <c r="E432" s="2" t="s">
        <v>1703</v>
      </c>
      <c r="F432" s="2" t="s">
        <v>1686</v>
      </c>
      <c r="G432" t="b">
        <f t="shared" si="12"/>
        <v>1</v>
      </c>
      <c r="H432" t="str">
        <f t="shared" si="13"/>
        <v>Mumbai</v>
      </c>
    </row>
    <row r="433" spans="1:8" x14ac:dyDescent="0.4">
      <c r="A433" s="2" t="s">
        <v>2971</v>
      </c>
      <c r="B433" s="2" t="s">
        <v>2972</v>
      </c>
      <c r="C433" s="2" t="s">
        <v>2973</v>
      </c>
      <c r="D433" s="18" t="s">
        <v>2974</v>
      </c>
      <c r="E433" s="2" t="s">
        <v>1698</v>
      </c>
      <c r="F433" s="2" t="s">
        <v>1686</v>
      </c>
      <c r="G433" t="b">
        <f t="shared" si="12"/>
        <v>1</v>
      </c>
      <c r="H433" t="str">
        <f t="shared" si="13"/>
        <v>Delhi</v>
      </c>
    </row>
    <row r="434" spans="1:8" x14ac:dyDescent="0.4">
      <c r="A434" s="2" t="s">
        <v>2975</v>
      </c>
      <c r="B434" s="2" t="s">
        <v>2976</v>
      </c>
      <c r="C434" s="2" t="s">
        <v>1720</v>
      </c>
      <c r="D434" s="18">
        <v>9190088991</v>
      </c>
      <c r="E434" s="2" t="s">
        <v>1739</v>
      </c>
      <c r="F434" s="2" t="s">
        <v>1699</v>
      </c>
      <c r="G434" t="b">
        <f t="shared" si="12"/>
        <v>0</v>
      </c>
      <c r="H434" t="str">
        <f t="shared" si="13"/>
        <v>Chennai</v>
      </c>
    </row>
    <row r="435" spans="1:8" x14ac:dyDescent="0.4">
      <c r="A435" s="2" t="s">
        <v>2977</v>
      </c>
      <c r="B435" s="2" t="s">
        <v>2978</v>
      </c>
      <c r="C435" s="2" t="s">
        <v>2979</v>
      </c>
      <c r="D435" s="18">
        <v>4160091692</v>
      </c>
      <c r="E435" s="2" t="s">
        <v>1739</v>
      </c>
      <c r="F435" s="2" t="s">
        <v>1686</v>
      </c>
      <c r="G435" t="b">
        <f t="shared" si="12"/>
        <v>1</v>
      </c>
      <c r="H435" t="str">
        <f t="shared" si="13"/>
        <v>Chennai</v>
      </c>
    </row>
    <row r="436" spans="1:8" x14ac:dyDescent="0.4">
      <c r="A436" s="2" t="s">
        <v>2980</v>
      </c>
      <c r="B436" s="2" t="s">
        <v>2981</v>
      </c>
      <c r="C436" s="2" t="s">
        <v>1720</v>
      </c>
      <c r="D436" s="18">
        <v>2737989790</v>
      </c>
      <c r="E436" s="2" t="s">
        <v>1685</v>
      </c>
      <c r="F436" s="2" t="s">
        <v>1699</v>
      </c>
      <c r="G436" t="b">
        <f t="shared" si="12"/>
        <v>0</v>
      </c>
      <c r="H436" t="str">
        <f t="shared" si="13"/>
        <v>Kolkata</v>
      </c>
    </row>
    <row r="437" spans="1:8" x14ac:dyDescent="0.4">
      <c r="A437" s="2" t="s">
        <v>2982</v>
      </c>
      <c r="B437" s="2" t="s">
        <v>2983</v>
      </c>
      <c r="C437" s="2" t="s">
        <v>2984</v>
      </c>
      <c r="D437" s="18" t="s">
        <v>3829</v>
      </c>
      <c r="E437" s="2" t="s">
        <v>1698</v>
      </c>
      <c r="F437" s="2" t="s">
        <v>1717</v>
      </c>
      <c r="G437" t="b">
        <f t="shared" si="12"/>
        <v>1</v>
      </c>
      <c r="H437" t="str">
        <f t="shared" si="13"/>
        <v>Delhi</v>
      </c>
    </row>
    <row r="438" spans="1:8" x14ac:dyDescent="0.4">
      <c r="A438" s="2" t="s">
        <v>2985</v>
      </c>
      <c r="B438" s="2" t="s">
        <v>2986</v>
      </c>
      <c r="C438" s="2" t="s">
        <v>2987</v>
      </c>
      <c r="D438" s="18" t="s">
        <v>2988</v>
      </c>
      <c r="E438" s="2" t="s">
        <v>1685</v>
      </c>
      <c r="F438" s="2" t="s">
        <v>1717</v>
      </c>
      <c r="G438" t="b">
        <f t="shared" si="12"/>
        <v>1</v>
      </c>
      <c r="H438" t="str">
        <f t="shared" si="13"/>
        <v>Kolkata</v>
      </c>
    </row>
    <row r="439" spans="1:8" x14ac:dyDescent="0.4">
      <c r="A439" s="2" t="s">
        <v>2989</v>
      </c>
      <c r="B439" s="2" t="s">
        <v>2990</v>
      </c>
      <c r="C439" s="2" t="s">
        <v>2991</v>
      </c>
      <c r="D439" s="18">
        <v>1181519854582</v>
      </c>
      <c r="E439" s="2" t="s">
        <v>1739</v>
      </c>
      <c r="F439" s="2" t="s">
        <v>1717</v>
      </c>
      <c r="G439" t="b">
        <f t="shared" si="12"/>
        <v>1</v>
      </c>
      <c r="H439" t="str">
        <f t="shared" si="13"/>
        <v>Chennai</v>
      </c>
    </row>
    <row r="440" spans="1:8" x14ac:dyDescent="0.4">
      <c r="A440" s="2" t="s">
        <v>2992</v>
      </c>
      <c r="B440" s="2" t="s">
        <v>2993</v>
      </c>
      <c r="C440" s="2" t="s">
        <v>2994</v>
      </c>
      <c r="D440" s="18">
        <v>1942034015353460</v>
      </c>
      <c r="E440" s="2" t="s">
        <v>1690</v>
      </c>
      <c r="F440" s="2" t="s">
        <v>1691</v>
      </c>
      <c r="G440" t="b">
        <f t="shared" si="12"/>
        <v>1</v>
      </c>
      <c r="H440" t="str">
        <f t="shared" si="13"/>
        <v>Hyderabad</v>
      </c>
    </row>
    <row r="441" spans="1:8" x14ac:dyDescent="0.4">
      <c r="A441" s="2" t="s">
        <v>2995</v>
      </c>
      <c r="B441" s="2" t="s">
        <v>2996</v>
      </c>
      <c r="C441" s="2" t="s">
        <v>2997</v>
      </c>
      <c r="D441" s="18" t="s">
        <v>2998</v>
      </c>
      <c r="E441" s="2" t="s">
        <v>1685</v>
      </c>
      <c r="F441" s="2" t="s">
        <v>1686</v>
      </c>
      <c r="G441" t="b">
        <f t="shared" si="12"/>
        <v>1</v>
      </c>
      <c r="H441" t="str">
        <f t="shared" si="13"/>
        <v>Kolkata</v>
      </c>
    </row>
    <row r="442" spans="1:8" x14ac:dyDescent="0.4">
      <c r="A442" s="2" t="s">
        <v>2999</v>
      </c>
      <c r="B442" s="2" t="s">
        <v>3000</v>
      </c>
      <c r="C442" s="2" t="s">
        <v>3001</v>
      </c>
      <c r="D442" s="18" t="s">
        <v>3830</v>
      </c>
      <c r="E442" s="2" t="s">
        <v>1703</v>
      </c>
      <c r="F442" s="2" t="s">
        <v>1717</v>
      </c>
      <c r="G442" t="b">
        <f t="shared" si="12"/>
        <v>1</v>
      </c>
      <c r="H442" t="str">
        <f t="shared" si="13"/>
        <v>Mumbai</v>
      </c>
    </row>
    <row r="443" spans="1:8" x14ac:dyDescent="0.4">
      <c r="A443" s="2" t="s">
        <v>3002</v>
      </c>
      <c r="B443" s="2" t="s">
        <v>3003</v>
      </c>
      <c r="C443" s="2" t="s">
        <v>3004</v>
      </c>
      <c r="D443" s="18" t="s">
        <v>3831</v>
      </c>
      <c r="E443" s="2" t="s">
        <v>1698</v>
      </c>
      <c r="F443" s="2" t="s">
        <v>1699</v>
      </c>
      <c r="G443" t="b">
        <f t="shared" si="12"/>
        <v>1</v>
      </c>
      <c r="H443" t="str">
        <f t="shared" si="13"/>
        <v>Delhi</v>
      </c>
    </row>
    <row r="444" spans="1:8" x14ac:dyDescent="0.4">
      <c r="A444" s="2" t="s">
        <v>3005</v>
      </c>
      <c r="B444" s="2" t="s">
        <v>3006</v>
      </c>
      <c r="C444" s="2" t="s">
        <v>1720</v>
      </c>
      <c r="D444" s="18" t="s">
        <v>3007</v>
      </c>
      <c r="E444" s="2" t="s">
        <v>1730</v>
      </c>
      <c r="F444" s="2" t="s">
        <v>1699</v>
      </c>
      <c r="G444" t="b">
        <f t="shared" si="12"/>
        <v>0</v>
      </c>
      <c r="H444" t="str">
        <f t="shared" si="13"/>
        <v>Pune</v>
      </c>
    </row>
    <row r="445" spans="1:8" x14ac:dyDescent="0.4">
      <c r="A445" s="2" t="s">
        <v>3008</v>
      </c>
      <c r="B445" s="2" t="s">
        <v>3009</v>
      </c>
      <c r="C445" s="2" t="s">
        <v>3010</v>
      </c>
      <c r="D445" s="18" t="s">
        <v>3832</v>
      </c>
      <c r="E445" s="2" t="s">
        <v>1685</v>
      </c>
      <c r="F445" s="2" t="s">
        <v>1717</v>
      </c>
      <c r="G445" t="b">
        <f t="shared" si="12"/>
        <v>1</v>
      </c>
      <c r="H445" t="str">
        <f t="shared" si="13"/>
        <v>Kolkata</v>
      </c>
    </row>
    <row r="446" spans="1:8" x14ac:dyDescent="0.4">
      <c r="A446" s="2" t="s">
        <v>3011</v>
      </c>
      <c r="B446" s="2" t="s">
        <v>3012</v>
      </c>
      <c r="C446" s="2" t="s">
        <v>3013</v>
      </c>
      <c r="D446" s="18">
        <v>8285181612</v>
      </c>
      <c r="E446" s="2" t="s">
        <v>1739</v>
      </c>
      <c r="F446" s="2" t="s">
        <v>1717</v>
      </c>
      <c r="G446" t="b">
        <f t="shared" si="12"/>
        <v>1</v>
      </c>
      <c r="H446" t="str">
        <f t="shared" si="13"/>
        <v>Chennai</v>
      </c>
    </row>
    <row r="447" spans="1:8" x14ac:dyDescent="0.4">
      <c r="A447" s="2" t="s">
        <v>3014</v>
      </c>
      <c r="B447" s="2" t="s">
        <v>3015</v>
      </c>
      <c r="C447" s="2" t="s">
        <v>3016</v>
      </c>
      <c r="D447" s="18">
        <v>155904610079230</v>
      </c>
      <c r="E447" s="2" t="s">
        <v>1739</v>
      </c>
      <c r="F447" s="2" t="s">
        <v>1717</v>
      </c>
      <c r="G447" t="b">
        <f t="shared" si="12"/>
        <v>1</v>
      </c>
      <c r="H447" t="str">
        <f t="shared" si="13"/>
        <v>Chennai</v>
      </c>
    </row>
    <row r="448" spans="1:8" x14ac:dyDescent="0.4">
      <c r="A448" s="2" t="s">
        <v>3017</v>
      </c>
      <c r="B448" s="2" t="s">
        <v>3018</v>
      </c>
      <c r="C448" s="2" t="s">
        <v>3019</v>
      </c>
      <c r="D448" s="18">
        <v>6600128382710</v>
      </c>
      <c r="E448" s="2" t="s">
        <v>1685</v>
      </c>
      <c r="F448" s="2" t="s">
        <v>1699</v>
      </c>
      <c r="G448" t="b">
        <f t="shared" si="12"/>
        <v>1</v>
      </c>
      <c r="H448" t="str">
        <f t="shared" si="13"/>
        <v>Kolkata</v>
      </c>
    </row>
    <row r="449" spans="1:8" x14ac:dyDescent="0.4">
      <c r="A449" s="2" t="s">
        <v>3020</v>
      </c>
      <c r="B449" s="2" t="s">
        <v>3021</v>
      </c>
      <c r="C449" s="2" t="s">
        <v>3022</v>
      </c>
      <c r="D449" s="18">
        <v>2329615120</v>
      </c>
      <c r="E449" s="2" t="s">
        <v>1690</v>
      </c>
      <c r="F449" s="2" t="s">
        <v>1691</v>
      </c>
      <c r="G449" t="b">
        <f t="shared" si="12"/>
        <v>1</v>
      </c>
      <c r="H449" t="str">
        <f t="shared" si="13"/>
        <v>Hyderabad</v>
      </c>
    </row>
    <row r="450" spans="1:8" x14ac:dyDescent="0.4">
      <c r="A450" s="2" t="s">
        <v>3023</v>
      </c>
      <c r="B450" s="2" t="s">
        <v>3024</v>
      </c>
      <c r="C450" s="2" t="s">
        <v>3025</v>
      </c>
      <c r="D450" s="18">
        <v>148507665344604</v>
      </c>
      <c r="E450" s="2" t="s">
        <v>1739</v>
      </c>
      <c r="F450" s="2" t="s">
        <v>1717</v>
      </c>
      <c r="G450" t="b">
        <f t="shared" ref="G450:G500" si="14">ISNUMBER(SEARCH("@",C450))</f>
        <v>1</v>
      </c>
      <c r="H450" t="str">
        <f t="shared" si="13"/>
        <v>Chennai</v>
      </c>
    </row>
    <row r="451" spans="1:8" x14ac:dyDescent="0.4">
      <c r="A451" s="2" t="s">
        <v>3026</v>
      </c>
      <c r="B451" s="2" t="s">
        <v>3027</v>
      </c>
      <c r="C451" s="2" t="s">
        <v>3028</v>
      </c>
      <c r="D451" s="18">
        <v>122763460191530</v>
      </c>
      <c r="E451" s="2" t="s">
        <v>1685</v>
      </c>
      <c r="F451" s="2" t="s">
        <v>1699</v>
      </c>
      <c r="G451" t="b">
        <f t="shared" si="14"/>
        <v>1</v>
      </c>
      <c r="H451" t="str">
        <f t="shared" ref="H451:H500" si="15">PROPER(E451)</f>
        <v>Kolkata</v>
      </c>
    </row>
    <row r="452" spans="1:8" x14ac:dyDescent="0.4">
      <c r="A452" s="2" t="s">
        <v>3029</v>
      </c>
      <c r="B452" s="2" t="s">
        <v>3030</v>
      </c>
      <c r="C452" s="2" t="s">
        <v>3031</v>
      </c>
      <c r="D452" s="18" t="s">
        <v>3833</v>
      </c>
      <c r="E452" s="2" t="s">
        <v>1703</v>
      </c>
      <c r="F452" s="2" t="s">
        <v>1699</v>
      </c>
      <c r="G452" t="b">
        <f t="shared" si="14"/>
        <v>1</v>
      </c>
      <c r="H452" t="str">
        <f t="shared" si="15"/>
        <v>Mumbai</v>
      </c>
    </row>
    <row r="453" spans="1:8" x14ac:dyDescent="0.4">
      <c r="A453" s="2" t="s">
        <v>3032</v>
      </c>
      <c r="B453" s="2" t="s">
        <v>3033</v>
      </c>
      <c r="C453" s="2" t="s">
        <v>3034</v>
      </c>
      <c r="D453" s="18">
        <v>12251272670</v>
      </c>
      <c r="E453" s="2" t="s">
        <v>1739</v>
      </c>
      <c r="F453" s="2" t="s">
        <v>1717</v>
      </c>
      <c r="G453" t="b">
        <f t="shared" si="14"/>
        <v>1</v>
      </c>
      <c r="H453" t="str">
        <f t="shared" si="15"/>
        <v>Chennai</v>
      </c>
    </row>
    <row r="454" spans="1:8" x14ac:dyDescent="0.4">
      <c r="A454" s="2" t="s">
        <v>3035</v>
      </c>
      <c r="B454" s="2" t="s">
        <v>3036</v>
      </c>
      <c r="C454" s="2" t="s">
        <v>3037</v>
      </c>
      <c r="D454" s="18">
        <v>666562241976878</v>
      </c>
      <c r="E454" s="2" t="s">
        <v>1739</v>
      </c>
      <c r="F454" s="2" t="s">
        <v>1686</v>
      </c>
      <c r="G454" t="b">
        <f t="shared" si="14"/>
        <v>1</v>
      </c>
      <c r="H454" t="str">
        <f t="shared" si="15"/>
        <v>Chennai</v>
      </c>
    </row>
    <row r="455" spans="1:8" x14ac:dyDescent="0.4">
      <c r="A455" s="2" t="s">
        <v>3038</v>
      </c>
      <c r="B455" s="2" t="s">
        <v>3039</v>
      </c>
      <c r="C455" s="2" t="s">
        <v>3040</v>
      </c>
      <c r="D455" s="18">
        <v>9477129035006</v>
      </c>
      <c r="E455" s="2" t="s">
        <v>1698</v>
      </c>
      <c r="F455" s="2" t="s">
        <v>1699</v>
      </c>
      <c r="G455" t="b">
        <f t="shared" si="14"/>
        <v>1</v>
      </c>
      <c r="H455" t="str">
        <f t="shared" si="15"/>
        <v>Delhi</v>
      </c>
    </row>
    <row r="456" spans="1:8" x14ac:dyDescent="0.4">
      <c r="A456" s="2" t="s">
        <v>3041</v>
      </c>
      <c r="B456" s="2" t="s">
        <v>3042</v>
      </c>
      <c r="C456" s="2" t="s">
        <v>3043</v>
      </c>
      <c r="D456" s="18">
        <v>8489742235</v>
      </c>
      <c r="E456" s="2" t="s">
        <v>1703</v>
      </c>
      <c r="F456" s="2" t="s">
        <v>1686</v>
      </c>
      <c r="G456" t="b">
        <f t="shared" si="14"/>
        <v>1</v>
      </c>
      <c r="H456" t="str">
        <f t="shared" si="15"/>
        <v>Mumbai</v>
      </c>
    </row>
    <row r="457" spans="1:8" x14ac:dyDescent="0.4">
      <c r="A457" s="2" t="s">
        <v>3044</v>
      </c>
      <c r="B457" s="2" t="s">
        <v>3045</v>
      </c>
      <c r="C457" s="2" t="s">
        <v>1720</v>
      </c>
      <c r="D457" s="18">
        <v>3404668212156</v>
      </c>
      <c r="E457" s="2" t="s">
        <v>1690</v>
      </c>
      <c r="F457" s="2" t="s">
        <v>1686</v>
      </c>
      <c r="G457" t="b">
        <f t="shared" si="14"/>
        <v>0</v>
      </c>
      <c r="H457" t="str">
        <f t="shared" si="15"/>
        <v>Hyderabad</v>
      </c>
    </row>
    <row r="458" spans="1:8" x14ac:dyDescent="0.4">
      <c r="A458" s="2" t="s">
        <v>3046</v>
      </c>
      <c r="B458" s="2" t="s">
        <v>3047</v>
      </c>
      <c r="C458" s="2" t="s">
        <v>3048</v>
      </c>
      <c r="D458" s="18">
        <v>9525492064411</v>
      </c>
      <c r="E458" s="2" t="s">
        <v>1739</v>
      </c>
      <c r="F458" s="2" t="s">
        <v>1691</v>
      </c>
      <c r="G458" t="b">
        <f t="shared" si="14"/>
        <v>1</v>
      </c>
      <c r="H458" t="str">
        <f t="shared" si="15"/>
        <v>Chennai</v>
      </c>
    </row>
    <row r="459" spans="1:8" x14ac:dyDescent="0.4">
      <c r="A459" s="2" t="s">
        <v>3049</v>
      </c>
      <c r="B459" s="2" t="s">
        <v>3050</v>
      </c>
      <c r="C459" s="2" t="s">
        <v>3051</v>
      </c>
      <c r="D459" s="18">
        <v>9738818273</v>
      </c>
      <c r="E459" s="2" t="s">
        <v>1713</v>
      </c>
      <c r="F459" s="2" t="s">
        <v>1699</v>
      </c>
      <c r="G459" t="b">
        <f t="shared" si="14"/>
        <v>1</v>
      </c>
      <c r="H459" t="str">
        <f t="shared" si="15"/>
        <v>Bangalore</v>
      </c>
    </row>
    <row r="460" spans="1:8" x14ac:dyDescent="0.4">
      <c r="A460" s="2" t="s">
        <v>3052</v>
      </c>
      <c r="B460" s="2" t="s">
        <v>3053</v>
      </c>
      <c r="C460" s="2" t="s">
        <v>3054</v>
      </c>
      <c r="D460" s="18" t="s">
        <v>3055</v>
      </c>
      <c r="E460" s="2" t="s">
        <v>1703</v>
      </c>
      <c r="F460" s="2" t="s">
        <v>1691</v>
      </c>
      <c r="G460" t="b">
        <f t="shared" si="14"/>
        <v>1</v>
      </c>
      <c r="H460" t="str">
        <f t="shared" si="15"/>
        <v>Mumbai</v>
      </c>
    </row>
    <row r="461" spans="1:8" x14ac:dyDescent="0.4">
      <c r="A461" s="2" t="s">
        <v>3056</v>
      </c>
      <c r="B461" s="2" t="s">
        <v>3057</v>
      </c>
      <c r="C461" s="2" t="s">
        <v>3058</v>
      </c>
      <c r="D461" s="18">
        <v>118849680664051</v>
      </c>
      <c r="E461" s="2" t="s">
        <v>1703</v>
      </c>
      <c r="F461" s="2" t="s">
        <v>1717</v>
      </c>
      <c r="G461" t="b">
        <f t="shared" si="14"/>
        <v>1</v>
      </c>
      <c r="H461" t="str">
        <f t="shared" si="15"/>
        <v>Mumbai</v>
      </c>
    </row>
    <row r="462" spans="1:8" x14ac:dyDescent="0.4">
      <c r="A462" s="2" t="s">
        <v>3059</v>
      </c>
      <c r="B462" s="2" t="s">
        <v>3060</v>
      </c>
      <c r="C462" s="2" t="s">
        <v>3061</v>
      </c>
      <c r="D462" s="18">
        <v>212543412</v>
      </c>
      <c r="E462" s="2" t="s">
        <v>1703</v>
      </c>
      <c r="F462" s="2" t="s">
        <v>1691</v>
      </c>
      <c r="G462" t="b">
        <f t="shared" si="14"/>
        <v>1</v>
      </c>
      <c r="H462" t="str">
        <f t="shared" si="15"/>
        <v>Mumbai</v>
      </c>
    </row>
    <row r="463" spans="1:8" x14ac:dyDescent="0.4">
      <c r="A463" s="2" t="s">
        <v>3062</v>
      </c>
      <c r="B463" s="2" t="s">
        <v>3063</v>
      </c>
      <c r="C463" s="2" t="s">
        <v>3064</v>
      </c>
      <c r="D463" s="18">
        <v>160498603</v>
      </c>
      <c r="E463" s="2" t="s">
        <v>1703</v>
      </c>
      <c r="F463" s="2" t="s">
        <v>1717</v>
      </c>
      <c r="G463" t="b">
        <f t="shared" si="14"/>
        <v>1</v>
      </c>
      <c r="H463" t="str">
        <f t="shared" si="15"/>
        <v>Mumbai</v>
      </c>
    </row>
    <row r="464" spans="1:8" x14ac:dyDescent="0.4">
      <c r="A464" s="2" t="s">
        <v>3065</v>
      </c>
      <c r="B464" s="2" t="s">
        <v>3066</v>
      </c>
      <c r="C464" s="2" t="s">
        <v>3067</v>
      </c>
      <c r="D464" s="18">
        <v>21860032031978</v>
      </c>
      <c r="E464" s="2" t="s">
        <v>1698</v>
      </c>
      <c r="F464" s="2" t="s">
        <v>1686</v>
      </c>
      <c r="G464" t="b">
        <f t="shared" si="14"/>
        <v>1</v>
      </c>
      <c r="H464" t="str">
        <f t="shared" si="15"/>
        <v>Delhi</v>
      </c>
    </row>
    <row r="465" spans="1:8" x14ac:dyDescent="0.4">
      <c r="A465" s="2" t="s">
        <v>3068</v>
      </c>
      <c r="B465" s="2" t="s">
        <v>3069</v>
      </c>
      <c r="C465" s="2" t="s">
        <v>3070</v>
      </c>
      <c r="D465" s="18">
        <v>19901140034</v>
      </c>
      <c r="E465" s="2" t="s">
        <v>1685</v>
      </c>
      <c r="F465" s="2" t="s">
        <v>1699</v>
      </c>
      <c r="G465" t="b">
        <f t="shared" si="14"/>
        <v>1</v>
      </c>
      <c r="H465" t="str">
        <f t="shared" si="15"/>
        <v>Kolkata</v>
      </c>
    </row>
    <row r="466" spans="1:8" x14ac:dyDescent="0.4">
      <c r="A466" s="2" t="s">
        <v>3071</v>
      </c>
      <c r="B466" s="2" t="s">
        <v>3072</v>
      </c>
      <c r="C466" s="2" t="s">
        <v>3073</v>
      </c>
      <c r="D466" s="18">
        <v>13171978601625</v>
      </c>
      <c r="E466" s="2" t="s">
        <v>1713</v>
      </c>
      <c r="F466" s="2" t="s">
        <v>1691</v>
      </c>
      <c r="G466" t="b">
        <f t="shared" si="14"/>
        <v>1</v>
      </c>
      <c r="H466" t="str">
        <f t="shared" si="15"/>
        <v>Bangalore</v>
      </c>
    </row>
    <row r="467" spans="1:8" x14ac:dyDescent="0.4">
      <c r="A467" s="2" t="s">
        <v>3074</v>
      </c>
      <c r="B467" s="2" t="s">
        <v>3075</v>
      </c>
      <c r="C467" s="2" t="s">
        <v>1720</v>
      </c>
      <c r="D467" s="18">
        <v>1908419478550110</v>
      </c>
      <c r="E467" s="2" t="s">
        <v>1730</v>
      </c>
      <c r="F467" s="2" t="s">
        <v>1699</v>
      </c>
      <c r="G467" t="b">
        <f t="shared" si="14"/>
        <v>0</v>
      </c>
      <c r="H467" t="str">
        <f t="shared" si="15"/>
        <v>Pune</v>
      </c>
    </row>
    <row r="468" spans="1:8" x14ac:dyDescent="0.4">
      <c r="A468" s="2" t="s">
        <v>3076</v>
      </c>
      <c r="B468" s="2" t="s">
        <v>3077</v>
      </c>
      <c r="C468" s="2" t="s">
        <v>3078</v>
      </c>
      <c r="D468" s="18">
        <v>5358210728878</v>
      </c>
      <c r="E468" s="2" t="s">
        <v>1703</v>
      </c>
      <c r="F468" s="2" t="s">
        <v>1686</v>
      </c>
      <c r="G468" t="b">
        <f t="shared" si="14"/>
        <v>1</v>
      </c>
      <c r="H468" t="str">
        <f t="shared" si="15"/>
        <v>Mumbai</v>
      </c>
    </row>
    <row r="469" spans="1:8" x14ac:dyDescent="0.4">
      <c r="A469" s="2" t="s">
        <v>3079</v>
      </c>
      <c r="B469" s="2" t="s">
        <v>3080</v>
      </c>
      <c r="C469" s="2" t="s">
        <v>3081</v>
      </c>
      <c r="D469" s="18">
        <v>107279037161608</v>
      </c>
      <c r="E469" s="2" t="s">
        <v>1730</v>
      </c>
      <c r="F469" s="2" t="s">
        <v>1686</v>
      </c>
      <c r="G469" t="b">
        <f t="shared" si="14"/>
        <v>1</v>
      </c>
      <c r="H469" t="str">
        <f t="shared" si="15"/>
        <v>Pune</v>
      </c>
    </row>
    <row r="470" spans="1:8" x14ac:dyDescent="0.4">
      <c r="A470" s="2" t="s">
        <v>3082</v>
      </c>
      <c r="B470" s="2" t="s">
        <v>3083</v>
      </c>
      <c r="C470" s="2" t="s">
        <v>3084</v>
      </c>
      <c r="D470" s="18">
        <v>18197223996477</v>
      </c>
      <c r="E470" s="2" t="s">
        <v>1685</v>
      </c>
      <c r="F470" s="2" t="s">
        <v>1686</v>
      </c>
      <c r="G470" t="b">
        <f t="shared" si="14"/>
        <v>1</v>
      </c>
      <c r="H470" t="str">
        <f t="shared" si="15"/>
        <v>Kolkata</v>
      </c>
    </row>
    <row r="471" spans="1:8" x14ac:dyDescent="0.4">
      <c r="A471" s="2" t="s">
        <v>3085</v>
      </c>
      <c r="B471" s="2" t="s">
        <v>3086</v>
      </c>
      <c r="C471" s="2" t="s">
        <v>3087</v>
      </c>
      <c r="D471" s="18">
        <v>1183753076810240</v>
      </c>
      <c r="E471" s="2" t="s">
        <v>1698</v>
      </c>
      <c r="F471" s="2" t="s">
        <v>1686</v>
      </c>
      <c r="G471" t="b">
        <f t="shared" si="14"/>
        <v>1</v>
      </c>
      <c r="H471" t="str">
        <f t="shared" si="15"/>
        <v>Delhi</v>
      </c>
    </row>
    <row r="472" spans="1:8" x14ac:dyDescent="0.4">
      <c r="A472" s="2" t="s">
        <v>3088</v>
      </c>
      <c r="B472" s="2" t="s">
        <v>3089</v>
      </c>
      <c r="C472" s="2" t="s">
        <v>3090</v>
      </c>
      <c r="D472" s="18" t="s">
        <v>3091</v>
      </c>
      <c r="E472" s="2" t="s">
        <v>1713</v>
      </c>
      <c r="F472" s="2" t="s">
        <v>1686</v>
      </c>
      <c r="G472" t="b">
        <f t="shared" si="14"/>
        <v>1</v>
      </c>
      <c r="H472" t="str">
        <f t="shared" si="15"/>
        <v>Bangalore</v>
      </c>
    </row>
    <row r="473" spans="1:8" x14ac:dyDescent="0.4">
      <c r="A473" s="2" t="s">
        <v>3092</v>
      </c>
      <c r="B473" s="2" t="s">
        <v>3093</v>
      </c>
      <c r="C473" s="2" t="s">
        <v>3094</v>
      </c>
      <c r="D473" s="18">
        <v>2362216906</v>
      </c>
      <c r="E473" s="2" t="s">
        <v>1690</v>
      </c>
      <c r="F473" s="2" t="s">
        <v>1686</v>
      </c>
      <c r="G473" t="b">
        <f t="shared" si="14"/>
        <v>1</v>
      </c>
      <c r="H473" t="str">
        <f t="shared" si="15"/>
        <v>Hyderabad</v>
      </c>
    </row>
    <row r="474" spans="1:8" x14ac:dyDescent="0.4">
      <c r="A474" s="2" t="s">
        <v>3095</v>
      </c>
      <c r="B474" s="2" t="s">
        <v>3096</v>
      </c>
      <c r="C474" s="2" t="s">
        <v>3097</v>
      </c>
      <c r="D474" s="18">
        <v>16857467067516</v>
      </c>
      <c r="E474" s="2" t="s">
        <v>1690</v>
      </c>
      <c r="F474" s="2" t="s">
        <v>1691</v>
      </c>
      <c r="G474" t="b">
        <f t="shared" si="14"/>
        <v>1</v>
      </c>
      <c r="H474" t="str">
        <f t="shared" si="15"/>
        <v>Hyderabad</v>
      </c>
    </row>
    <row r="475" spans="1:8" x14ac:dyDescent="0.4">
      <c r="A475" s="2" t="s">
        <v>3098</v>
      </c>
      <c r="B475" s="2" t="s">
        <v>3099</v>
      </c>
      <c r="C475" s="2" t="s">
        <v>1720</v>
      </c>
      <c r="D475" s="18">
        <v>11395215016426</v>
      </c>
      <c r="E475" s="2" t="s">
        <v>1690</v>
      </c>
      <c r="F475" s="2" t="s">
        <v>1699</v>
      </c>
      <c r="G475" t="b">
        <f t="shared" si="14"/>
        <v>0</v>
      </c>
      <c r="H475" t="str">
        <f t="shared" si="15"/>
        <v>Hyderabad</v>
      </c>
    </row>
    <row r="476" spans="1:8" x14ac:dyDescent="0.4">
      <c r="A476" s="2" t="s">
        <v>3100</v>
      </c>
      <c r="B476" s="2" t="s">
        <v>3101</v>
      </c>
      <c r="C476" s="2" t="s">
        <v>3102</v>
      </c>
      <c r="D476" s="18">
        <v>703350842</v>
      </c>
      <c r="E476" s="2" t="s">
        <v>1739</v>
      </c>
      <c r="F476" s="2" t="s">
        <v>1691</v>
      </c>
      <c r="G476" t="b">
        <f t="shared" si="14"/>
        <v>1</v>
      </c>
      <c r="H476" t="str">
        <f t="shared" si="15"/>
        <v>Chennai</v>
      </c>
    </row>
    <row r="477" spans="1:8" x14ac:dyDescent="0.4">
      <c r="A477" s="2" t="s">
        <v>3103</v>
      </c>
      <c r="B477" s="2" t="s">
        <v>3104</v>
      </c>
      <c r="C477" s="2" t="s">
        <v>3105</v>
      </c>
      <c r="D477" s="18">
        <v>31983924848130</v>
      </c>
      <c r="E477" s="2" t="s">
        <v>1690</v>
      </c>
      <c r="F477" s="2" t="s">
        <v>1686</v>
      </c>
      <c r="G477" t="b">
        <f t="shared" si="14"/>
        <v>1</v>
      </c>
      <c r="H477" t="str">
        <f t="shared" si="15"/>
        <v>Hyderabad</v>
      </c>
    </row>
    <row r="478" spans="1:8" x14ac:dyDescent="0.4">
      <c r="A478" s="2" t="s">
        <v>3106</v>
      </c>
      <c r="B478" s="2" t="s">
        <v>3107</v>
      </c>
      <c r="C478" s="2" t="s">
        <v>3108</v>
      </c>
      <c r="D478" s="18" t="s">
        <v>3109</v>
      </c>
      <c r="E478" s="2" t="s">
        <v>1690</v>
      </c>
      <c r="F478" s="2" t="s">
        <v>1717</v>
      </c>
      <c r="G478" t="b">
        <f t="shared" si="14"/>
        <v>1</v>
      </c>
      <c r="H478" t="str">
        <f t="shared" si="15"/>
        <v>Hyderabad</v>
      </c>
    </row>
    <row r="479" spans="1:8" x14ac:dyDescent="0.4">
      <c r="A479" s="2" t="s">
        <v>3110</v>
      </c>
      <c r="B479" s="2" t="s">
        <v>3111</v>
      </c>
      <c r="C479" s="2" t="s">
        <v>3112</v>
      </c>
      <c r="D479" s="18">
        <v>5167586463</v>
      </c>
      <c r="E479" s="2" t="s">
        <v>1713</v>
      </c>
      <c r="F479" s="2" t="s">
        <v>1717</v>
      </c>
      <c r="G479" t="b">
        <f t="shared" si="14"/>
        <v>1</v>
      </c>
      <c r="H479" t="str">
        <f t="shared" si="15"/>
        <v>Bangalore</v>
      </c>
    </row>
    <row r="480" spans="1:8" x14ac:dyDescent="0.4">
      <c r="A480" s="2" t="s">
        <v>3113</v>
      </c>
      <c r="B480" s="2" t="s">
        <v>3114</v>
      </c>
      <c r="C480" s="2" t="s">
        <v>3115</v>
      </c>
      <c r="D480" s="18">
        <v>9534811050</v>
      </c>
      <c r="E480" s="2" t="s">
        <v>1703</v>
      </c>
      <c r="F480" s="2" t="s">
        <v>1686</v>
      </c>
      <c r="G480" t="b">
        <f t="shared" si="14"/>
        <v>1</v>
      </c>
      <c r="H480" t="str">
        <f t="shared" si="15"/>
        <v>Mumbai</v>
      </c>
    </row>
    <row r="481" spans="1:8" x14ac:dyDescent="0.4">
      <c r="A481" s="2" t="s">
        <v>3116</v>
      </c>
      <c r="B481" s="2" t="s">
        <v>3117</v>
      </c>
      <c r="C481" s="2" t="s">
        <v>3118</v>
      </c>
      <c r="D481" s="18">
        <v>4764278961</v>
      </c>
      <c r="E481" s="2" t="s">
        <v>1690</v>
      </c>
      <c r="F481" s="2" t="s">
        <v>1686</v>
      </c>
      <c r="G481" t="b">
        <f t="shared" si="14"/>
        <v>1</v>
      </c>
      <c r="H481" t="str">
        <f t="shared" si="15"/>
        <v>Hyderabad</v>
      </c>
    </row>
    <row r="482" spans="1:8" x14ac:dyDescent="0.4">
      <c r="A482" s="2" t="s">
        <v>3119</v>
      </c>
      <c r="B482" s="2" t="s">
        <v>3120</v>
      </c>
      <c r="C482" s="2" t="s">
        <v>3121</v>
      </c>
      <c r="D482" s="18">
        <v>738551281775123</v>
      </c>
      <c r="E482" s="2" t="s">
        <v>1739</v>
      </c>
      <c r="F482" s="2" t="s">
        <v>1686</v>
      </c>
      <c r="G482" t="b">
        <f t="shared" si="14"/>
        <v>1</v>
      </c>
      <c r="H482" t="str">
        <f t="shared" si="15"/>
        <v>Chennai</v>
      </c>
    </row>
    <row r="483" spans="1:8" x14ac:dyDescent="0.4">
      <c r="A483" s="2" t="s">
        <v>3122</v>
      </c>
      <c r="B483" s="2" t="s">
        <v>3123</v>
      </c>
      <c r="C483" s="2" t="s">
        <v>3124</v>
      </c>
      <c r="D483" s="18">
        <v>15978155426</v>
      </c>
      <c r="E483" s="2" t="s">
        <v>1703</v>
      </c>
      <c r="F483" s="2" t="s">
        <v>1699</v>
      </c>
      <c r="G483" t="b">
        <f t="shared" si="14"/>
        <v>1</v>
      </c>
      <c r="H483" t="str">
        <f t="shared" si="15"/>
        <v>Mumbai</v>
      </c>
    </row>
    <row r="484" spans="1:8" x14ac:dyDescent="0.4">
      <c r="A484" s="2" t="s">
        <v>3125</v>
      </c>
      <c r="B484" s="2" t="s">
        <v>3126</v>
      </c>
      <c r="C484" s="2" t="s">
        <v>3127</v>
      </c>
      <c r="D484" s="18">
        <v>109723602446546</v>
      </c>
      <c r="E484" s="2" t="s">
        <v>1730</v>
      </c>
      <c r="F484" s="2" t="s">
        <v>1699</v>
      </c>
      <c r="G484" t="b">
        <f t="shared" si="14"/>
        <v>1</v>
      </c>
      <c r="H484" t="str">
        <f t="shared" si="15"/>
        <v>Pune</v>
      </c>
    </row>
    <row r="485" spans="1:8" x14ac:dyDescent="0.4">
      <c r="A485" s="2" t="s">
        <v>3128</v>
      </c>
      <c r="B485" s="2" t="s">
        <v>3129</v>
      </c>
      <c r="C485" s="2" t="s">
        <v>3130</v>
      </c>
      <c r="D485" s="18">
        <v>1772051710730870</v>
      </c>
      <c r="E485" s="2" t="s">
        <v>1703</v>
      </c>
      <c r="F485" s="2" t="s">
        <v>1691</v>
      </c>
      <c r="G485" t="b">
        <f t="shared" si="14"/>
        <v>1</v>
      </c>
      <c r="H485" t="str">
        <f t="shared" si="15"/>
        <v>Mumbai</v>
      </c>
    </row>
    <row r="486" spans="1:8" x14ac:dyDescent="0.4">
      <c r="A486" s="2" t="s">
        <v>3131</v>
      </c>
      <c r="B486" s="2" t="s">
        <v>3132</v>
      </c>
      <c r="C486" s="2" t="s">
        <v>3133</v>
      </c>
      <c r="D486" s="18" t="s">
        <v>3834</v>
      </c>
      <c r="E486" s="2" t="s">
        <v>1739</v>
      </c>
      <c r="F486" s="2" t="s">
        <v>1699</v>
      </c>
      <c r="G486" t="b">
        <f t="shared" si="14"/>
        <v>1</v>
      </c>
      <c r="H486" t="str">
        <f t="shared" si="15"/>
        <v>Chennai</v>
      </c>
    </row>
    <row r="487" spans="1:8" x14ac:dyDescent="0.4">
      <c r="A487" s="2" t="s">
        <v>3134</v>
      </c>
      <c r="B487" s="2" t="s">
        <v>3135</v>
      </c>
      <c r="C487" s="2" t="s">
        <v>3136</v>
      </c>
      <c r="D487" s="18">
        <v>27414857260292</v>
      </c>
      <c r="E487" s="2" t="s">
        <v>1739</v>
      </c>
      <c r="F487" s="2" t="s">
        <v>1686</v>
      </c>
      <c r="G487" t="b">
        <f t="shared" si="14"/>
        <v>1</v>
      </c>
      <c r="H487" t="str">
        <f t="shared" si="15"/>
        <v>Chennai</v>
      </c>
    </row>
    <row r="488" spans="1:8" x14ac:dyDescent="0.4">
      <c r="A488" s="2" t="s">
        <v>3137</v>
      </c>
      <c r="B488" s="2" t="s">
        <v>3138</v>
      </c>
      <c r="C488" s="2" t="s">
        <v>1720</v>
      </c>
      <c r="D488" s="18">
        <v>468627288407664</v>
      </c>
      <c r="E488" s="2" t="s">
        <v>1730</v>
      </c>
      <c r="F488" s="2" t="s">
        <v>1699</v>
      </c>
      <c r="G488" t="b">
        <f t="shared" si="14"/>
        <v>0</v>
      </c>
      <c r="H488" t="str">
        <f t="shared" si="15"/>
        <v>Pune</v>
      </c>
    </row>
    <row r="489" spans="1:8" x14ac:dyDescent="0.4">
      <c r="A489" s="2" t="s">
        <v>3139</v>
      </c>
      <c r="B489" s="2" t="s">
        <v>3140</v>
      </c>
      <c r="C489" s="2" t="s">
        <v>3141</v>
      </c>
      <c r="D489" s="18" t="s">
        <v>3835</v>
      </c>
      <c r="E489" s="2" t="s">
        <v>1703</v>
      </c>
      <c r="F489" s="2" t="s">
        <v>1717</v>
      </c>
      <c r="G489" t="b">
        <f t="shared" si="14"/>
        <v>1</v>
      </c>
      <c r="H489" t="str">
        <f t="shared" si="15"/>
        <v>Mumbai</v>
      </c>
    </row>
    <row r="490" spans="1:8" x14ac:dyDescent="0.4">
      <c r="A490" s="2" t="s">
        <v>3142</v>
      </c>
      <c r="B490" s="2" t="s">
        <v>3143</v>
      </c>
      <c r="C490" s="2" t="s">
        <v>3144</v>
      </c>
      <c r="D490" s="18">
        <v>186762592386879</v>
      </c>
      <c r="E490" s="2" t="s">
        <v>1685</v>
      </c>
      <c r="F490" s="2" t="s">
        <v>1717</v>
      </c>
      <c r="G490" t="b">
        <f t="shared" si="14"/>
        <v>1</v>
      </c>
      <c r="H490" t="str">
        <f t="shared" si="15"/>
        <v>Kolkata</v>
      </c>
    </row>
    <row r="491" spans="1:8" x14ac:dyDescent="0.4">
      <c r="A491" s="2" t="s">
        <v>3145</v>
      </c>
      <c r="B491" s="2" t="s">
        <v>3146</v>
      </c>
      <c r="C491" s="2" t="s">
        <v>3147</v>
      </c>
      <c r="D491" s="18" t="s">
        <v>3148</v>
      </c>
      <c r="E491" s="2" t="s">
        <v>1739</v>
      </c>
      <c r="F491" s="2" t="s">
        <v>1686</v>
      </c>
      <c r="G491" t="b">
        <f t="shared" si="14"/>
        <v>1</v>
      </c>
      <c r="H491" t="str">
        <f t="shared" si="15"/>
        <v>Chennai</v>
      </c>
    </row>
    <row r="492" spans="1:8" x14ac:dyDescent="0.4">
      <c r="A492" s="2" t="s">
        <v>3149</v>
      </c>
      <c r="B492" s="2" t="s">
        <v>3150</v>
      </c>
      <c r="C492" s="2" t="s">
        <v>3151</v>
      </c>
      <c r="D492" s="18">
        <v>15534050892739</v>
      </c>
      <c r="E492" s="2" t="s">
        <v>1730</v>
      </c>
      <c r="F492" s="2" t="s">
        <v>1699</v>
      </c>
      <c r="G492" t="b">
        <f t="shared" si="14"/>
        <v>1</v>
      </c>
      <c r="H492" t="str">
        <f t="shared" si="15"/>
        <v>Pune</v>
      </c>
    </row>
    <row r="493" spans="1:8" x14ac:dyDescent="0.4">
      <c r="A493" s="2" t="s">
        <v>3152</v>
      </c>
      <c r="B493" s="2" t="s">
        <v>3153</v>
      </c>
      <c r="C493" s="2" t="s">
        <v>3154</v>
      </c>
      <c r="D493" s="18" t="s">
        <v>3836</v>
      </c>
      <c r="E493" s="2" t="s">
        <v>1703</v>
      </c>
      <c r="F493" s="2" t="s">
        <v>1699</v>
      </c>
      <c r="G493" t="b">
        <f t="shared" si="14"/>
        <v>1</v>
      </c>
      <c r="H493" t="str">
        <f t="shared" si="15"/>
        <v>Mumbai</v>
      </c>
    </row>
    <row r="494" spans="1:8" x14ac:dyDescent="0.4">
      <c r="A494" s="2" t="s">
        <v>3155</v>
      </c>
      <c r="B494" s="2" t="s">
        <v>3156</v>
      </c>
      <c r="C494" s="2" t="s">
        <v>3157</v>
      </c>
      <c r="D494" s="18">
        <v>17755426190384</v>
      </c>
      <c r="E494" s="2" t="s">
        <v>1739</v>
      </c>
      <c r="F494" s="2" t="s">
        <v>1691</v>
      </c>
      <c r="G494" t="b">
        <f t="shared" si="14"/>
        <v>1</v>
      </c>
      <c r="H494" t="str">
        <f t="shared" si="15"/>
        <v>Chennai</v>
      </c>
    </row>
    <row r="495" spans="1:8" x14ac:dyDescent="0.4">
      <c r="A495" s="2" t="s">
        <v>3158</v>
      </c>
      <c r="B495" s="2" t="s">
        <v>3159</v>
      </c>
      <c r="C495" s="2" t="s">
        <v>3160</v>
      </c>
      <c r="D495" s="18" t="s">
        <v>3837</v>
      </c>
      <c r="E495" s="2" t="s">
        <v>1685</v>
      </c>
      <c r="F495" s="2" t="s">
        <v>1691</v>
      </c>
      <c r="G495" t="b">
        <f t="shared" si="14"/>
        <v>1</v>
      </c>
      <c r="H495" t="str">
        <f t="shared" si="15"/>
        <v>Kolkata</v>
      </c>
    </row>
    <row r="496" spans="1:8" x14ac:dyDescent="0.4">
      <c r="A496" s="2" t="s">
        <v>3161</v>
      </c>
      <c r="B496" s="2" t="s">
        <v>3162</v>
      </c>
      <c r="C496" s="2" t="s">
        <v>3163</v>
      </c>
      <c r="D496" s="18" t="s">
        <v>3838</v>
      </c>
      <c r="E496" s="2" t="s">
        <v>1703</v>
      </c>
      <c r="F496" s="2" t="s">
        <v>1717</v>
      </c>
      <c r="G496" t="b">
        <f t="shared" si="14"/>
        <v>1</v>
      </c>
      <c r="H496" t="str">
        <f t="shared" si="15"/>
        <v>Mumbai</v>
      </c>
    </row>
    <row r="497" spans="1:8" x14ac:dyDescent="0.4">
      <c r="A497" s="2" t="s">
        <v>3164</v>
      </c>
      <c r="B497" s="2" t="s">
        <v>3165</v>
      </c>
      <c r="C497" s="2" t="s">
        <v>1720</v>
      </c>
      <c r="D497" s="18">
        <v>7162042985</v>
      </c>
      <c r="E497" s="2" t="s">
        <v>1713</v>
      </c>
      <c r="F497" s="2" t="s">
        <v>1686</v>
      </c>
      <c r="G497" t="b">
        <f t="shared" si="14"/>
        <v>0</v>
      </c>
      <c r="H497" t="str">
        <f t="shared" si="15"/>
        <v>Bangalore</v>
      </c>
    </row>
    <row r="498" spans="1:8" x14ac:dyDescent="0.4">
      <c r="A498" s="2" t="s">
        <v>3166</v>
      </c>
      <c r="B498" s="2" t="s">
        <v>3167</v>
      </c>
      <c r="C498" s="2" t="s">
        <v>3168</v>
      </c>
      <c r="D498" s="18">
        <v>4486983052</v>
      </c>
      <c r="E498" s="2" t="s">
        <v>1730</v>
      </c>
      <c r="F498" s="2" t="s">
        <v>1717</v>
      </c>
      <c r="G498" t="b">
        <f t="shared" si="14"/>
        <v>1</v>
      </c>
      <c r="H498" t="str">
        <f t="shared" si="15"/>
        <v>Pune</v>
      </c>
    </row>
    <row r="499" spans="1:8" x14ac:dyDescent="0.4">
      <c r="A499" s="2" t="s">
        <v>3169</v>
      </c>
      <c r="B499" s="2" t="s">
        <v>3170</v>
      </c>
      <c r="C499" s="2" t="s">
        <v>3171</v>
      </c>
      <c r="D499" s="18">
        <v>6903922026</v>
      </c>
      <c r="E499" s="2" t="s">
        <v>1703</v>
      </c>
      <c r="F499" s="2" t="s">
        <v>1686</v>
      </c>
      <c r="G499" t="b">
        <f t="shared" si="14"/>
        <v>1</v>
      </c>
      <c r="H499" t="str">
        <f t="shared" si="15"/>
        <v>Mumbai</v>
      </c>
    </row>
    <row r="500" spans="1:8" x14ac:dyDescent="0.4">
      <c r="A500" s="2" t="s">
        <v>3172</v>
      </c>
      <c r="B500" s="2" t="s">
        <v>3173</v>
      </c>
      <c r="C500" s="2" t="s">
        <v>3174</v>
      </c>
      <c r="D500" s="18">
        <v>18014264710</v>
      </c>
      <c r="E500" s="2" t="s">
        <v>1713</v>
      </c>
      <c r="F500" s="2" t="s">
        <v>1686</v>
      </c>
      <c r="G500" t="b">
        <f t="shared" si="14"/>
        <v>1</v>
      </c>
      <c r="H500" t="str">
        <f t="shared" si="15"/>
        <v>Bangalore</v>
      </c>
    </row>
    <row r="501" spans="1:8" x14ac:dyDescent="0.4">
      <c r="F501" s="5" t="s">
        <v>1691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1"/>
  <sheetViews>
    <sheetView workbookViewId="0">
      <selection activeCell="J2" sqref="J2"/>
    </sheetView>
  </sheetViews>
  <sheetFormatPr defaultRowHeight="14.6" x14ac:dyDescent="0.4"/>
  <cols>
    <col min="1" max="1" width="10.4609375" bestFit="1" customWidth="1"/>
    <col min="2" max="2" width="15.23046875" bestFit="1" customWidth="1"/>
    <col min="3" max="3" width="12.3046875" bestFit="1" customWidth="1"/>
    <col min="4" max="4" width="6" bestFit="1" customWidth="1"/>
    <col min="5" max="5" width="14.4609375" bestFit="1" customWidth="1"/>
    <col min="6" max="6" width="11.61328125" bestFit="1" customWidth="1"/>
    <col min="7" max="7" width="10.84375" bestFit="1" customWidth="1"/>
    <col min="8" max="8" width="11.4609375" bestFit="1" customWidth="1"/>
    <col min="9" max="9" width="15.23046875" bestFit="1" customWidth="1"/>
    <col min="10" max="10" width="11.3046875" bestFit="1" customWidth="1"/>
  </cols>
  <sheetData>
    <row r="1" spans="1:10" x14ac:dyDescent="0.4">
      <c r="A1" s="1" t="s">
        <v>3175</v>
      </c>
      <c r="B1" s="1" t="s">
        <v>3176</v>
      </c>
      <c r="C1" s="1" t="s">
        <v>3177</v>
      </c>
      <c r="D1" s="1" t="s">
        <v>3178</v>
      </c>
      <c r="E1" s="1" t="s">
        <v>3179</v>
      </c>
      <c r="F1" s="14" t="s">
        <v>3731</v>
      </c>
      <c r="G1" s="14" t="s">
        <v>3732</v>
      </c>
      <c r="H1" s="14" t="s">
        <v>3733</v>
      </c>
      <c r="I1" s="14" t="s">
        <v>3734</v>
      </c>
      <c r="J1" s="14" t="s">
        <v>3739</v>
      </c>
    </row>
    <row r="2" spans="1:10" x14ac:dyDescent="0.4">
      <c r="A2" s="2" t="s">
        <v>3180</v>
      </c>
      <c r="B2" s="2" t="s">
        <v>1180</v>
      </c>
      <c r="C2" s="2" t="s">
        <v>3181</v>
      </c>
      <c r="D2" s="2">
        <v>4999</v>
      </c>
      <c r="E2" s="2" t="s">
        <v>3182</v>
      </c>
      <c r="F2">
        <f>IF(D2="",MEDIAN($D$2:$D$501),D2)</f>
        <v>4999</v>
      </c>
      <c r="G2" t="str">
        <f>PROPER(E2)</f>
        <v>No</v>
      </c>
      <c r="H2" t="str">
        <f>IF(ISBLANK(D2),"Missing Price","No")</f>
        <v>No</v>
      </c>
      <c r="I2" t="str">
        <f>PROPER(B2)</f>
        <v>Canon Printer</v>
      </c>
      <c r="J2" t="str">
        <f>IF(COUNTIF($A$2:$A$501,A2)&gt;1,"Duplicate","Unique")</f>
        <v>Unique</v>
      </c>
    </row>
    <row r="3" spans="1:10" x14ac:dyDescent="0.4">
      <c r="A3" s="2" t="s">
        <v>3183</v>
      </c>
      <c r="B3" s="2" t="s">
        <v>1182</v>
      </c>
      <c r="C3" s="2" t="s">
        <v>3184</v>
      </c>
      <c r="D3" s="2">
        <v>4999</v>
      </c>
      <c r="E3" s="2" t="s">
        <v>3185</v>
      </c>
      <c r="F3">
        <f t="shared" ref="F3:F66" si="0">IF(D3="",MEDIAN($D$2:$D$501),D3)</f>
        <v>4999</v>
      </c>
      <c r="G3" t="str">
        <f t="shared" ref="G3:G66" si="1">PROPER(E3)</f>
        <v>Yes</v>
      </c>
      <c r="H3" t="str">
        <f t="shared" ref="H3:H66" si="2">IF(ISBLANK(D3),"Missing Price","No")</f>
        <v>No</v>
      </c>
      <c r="I3" t="str">
        <f t="shared" ref="I3:I66" si="3">PROPER(B3)</f>
        <v>Lenovo Keyboard</v>
      </c>
      <c r="J3" t="str">
        <f t="shared" ref="J3:J66" si="4">IF(COUNTIF($A$2:$A$501,A3)&gt;1,"Duplicate","Unique")</f>
        <v>Unique</v>
      </c>
    </row>
    <row r="4" spans="1:10" x14ac:dyDescent="0.4">
      <c r="A4" s="2" t="s">
        <v>3186</v>
      </c>
      <c r="B4" s="2" t="s">
        <v>1180</v>
      </c>
      <c r="C4" s="2" t="s">
        <v>3187</v>
      </c>
      <c r="D4" s="2">
        <v>15999</v>
      </c>
      <c r="E4" s="2" t="s">
        <v>3182</v>
      </c>
      <c r="F4">
        <f t="shared" si="0"/>
        <v>15999</v>
      </c>
      <c r="G4" t="str">
        <f t="shared" si="1"/>
        <v>No</v>
      </c>
      <c r="H4" t="str">
        <f t="shared" si="2"/>
        <v>No</v>
      </c>
      <c r="I4" t="str">
        <f t="shared" si="3"/>
        <v>Canon Printer</v>
      </c>
      <c r="J4" t="str">
        <f t="shared" si="4"/>
        <v>Unique</v>
      </c>
    </row>
    <row r="5" spans="1:10" x14ac:dyDescent="0.4">
      <c r="A5" s="2" t="s">
        <v>3188</v>
      </c>
      <c r="B5" s="2" t="s">
        <v>1182</v>
      </c>
      <c r="C5" s="2" t="s">
        <v>3189</v>
      </c>
      <c r="D5" s="2">
        <v>19999</v>
      </c>
      <c r="E5" s="2" t="s">
        <v>3182</v>
      </c>
      <c r="F5">
        <f t="shared" si="0"/>
        <v>19999</v>
      </c>
      <c r="G5" t="str">
        <f t="shared" si="1"/>
        <v>No</v>
      </c>
      <c r="H5" t="str">
        <f t="shared" si="2"/>
        <v>No</v>
      </c>
      <c r="I5" t="str">
        <f t="shared" si="3"/>
        <v>Lenovo Keyboard</v>
      </c>
      <c r="J5" t="str">
        <f t="shared" si="4"/>
        <v>Unique</v>
      </c>
    </row>
    <row r="6" spans="1:10" x14ac:dyDescent="0.4">
      <c r="A6" s="2" t="s">
        <v>3190</v>
      </c>
      <c r="B6" s="2" t="s">
        <v>1187</v>
      </c>
      <c r="C6" s="2" t="s">
        <v>3189</v>
      </c>
      <c r="D6" s="2">
        <v>12999</v>
      </c>
      <c r="E6" s="2" t="s">
        <v>3185</v>
      </c>
      <c r="F6">
        <f t="shared" si="0"/>
        <v>12999</v>
      </c>
      <c r="G6" t="str">
        <f t="shared" si="1"/>
        <v>Yes</v>
      </c>
      <c r="H6" t="str">
        <f t="shared" si="2"/>
        <v>No</v>
      </c>
      <c r="I6" t="str">
        <f t="shared" si="3"/>
        <v>Apple Ipad</v>
      </c>
      <c r="J6" t="str">
        <f t="shared" si="4"/>
        <v>Unique</v>
      </c>
    </row>
    <row r="7" spans="1:10" x14ac:dyDescent="0.4">
      <c r="A7" s="2" t="s">
        <v>3191</v>
      </c>
      <c r="B7" s="2" t="s">
        <v>1180</v>
      </c>
      <c r="C7" s="2" t="s">
        <v>3187</v>
      </c>
      <c r="D7" s="2">
        <v>12999</v>
      </c>
      <c r="E7" s="2"/>
      <c r="F7">
        <f t="shared" si="0"/>
        <v>12999</v>
      </c>
      <c r="G7" t="str">
        <f t="shared" si="1"/>
        <v/>
      </c>
      <c r="H7" t="str">
        <f t="shared" si="2"/>
        <v>No</v>
      </c>
      <c r="I7" t="str">
        <f t="shared" si="3"/>
        <v>Canon Printer</v>
      </c>
      <c r="J7" t="str">
        <f t="shared" si="4"/>
        <v>Unique</v>
      </c>
    </row>
    <row r="8" spans="1:10" x14ac:dyDescent="0.4">
      <c r="A8" s="2" t="s">
        <v>3192</v>
      </c>
      <c r="B8" s="2" t="s">
        <v>1171</v>
      </c>
      <c r="C8" s="2" t="s">
        <v>3187</v>
      </c>
      <c r="D8" s="2">
        <v>12999</v>
      </c>
      <c r="E8" s="2" t="s">
        <v>3185</v>
      </c>
      <c r="F8">
        <f t="shared" si="0"/>
        <v>12999</v>
      </c>
      <c r="G8" t="str">
        <f t="shared" si="1"/>
        <v>Yes</v>
      </c>
      <c r="H8" t="str">
        <f t="shared" si="2"/>
        <v>No</v>
      </c>
      <c r="I8" t="str">
        <f t="shared" si="3"/>
        <v>Asus Mouse</v>
      </c>
      <c r="J8" t="str">
        <f t="shared" si="4"/>
        <v>Unique</v>
      </c>
    </row>
    <row r="9" spans="1:10" x14ac:dyDescent="0.4">
      <c r="A9" s="2" t="s">
        <v>3193</v>
      </c>
      <c r="B9" s="2" t="s">
        <v>1182</v>
      </c>
      <c r="C9" s="2" t="s">
        <v>3181</v>
      </c>
      <c r="D9" s="2">
        <v>12999</v>
      </c>
      <c r="E9" s="2" t="s">
        <v>3182</v>
      </c>
      <c r="F9">
        <f t="shared" si="0"/>
        <v>12999</v>
      </c>
      <c r="G9" t="str">
        <f t="shared" si="1"/>
        <v>No</v>
      </c>
      <c r="H9" t="str">
        <f t="shared" si="2"/>
        <v>No</v>
      </c>
      <c r="I9" t="str">
        <f t="shared" si="3"/>
        <v>Lenovo Keyboard</v>
      </c>
      <c r="J9" t="str">
        <f t="shared" si="4"/>
        <v>Unique</v>
      </c>
    </row>
    <row r="10" spans="1:10" x14ac:dyDescent="0.4">
      <c r="A10" s="2" t="s">
        <v>3194</v>
      </c>
      <c r="B10" s="2" t="s">
        <v>1171</v>
      </c>
      <c r="C10" s="2" t="s">
        <v>3189</v>
      </c>
      <c r="D10" s="2"/>
      <c r="E10" s="2"/>
      <c r="F10">
        <f t="shared" si="0"/>
        <v>12999</v>
      </c>
      <c r="G10" t="str">
        <f t="shared" si="1"/>
        <v/>
      </c>
      <c r="H10" t="str">
        <f t="shared" si="2"/>
        <v>Missing Price</v>
      </c>
      <c r="I10" t="str">
        <f t="shared" si="3"/>
        <v>Asus Mouse</v>
      </c>
      <c r="J10" t="str">
        <f t="shared" si="4"/>
        <v>Unique</v>
      </c>
    </row>
    <row r="11" spans="1:10" x14ac:dyDescent="0.4">
      <c r="A11" s="2" t="s">
        <v>3195</v>
      </c>
      <c r="B11" s="2" t="s">
        <v>1182</v>
      </c>
      <c r="C11" s="2" t="s">
        <v>3189</v>
      </c>
      <c r="D11" s="2">
        <v>15999</v>
      </c>
      <c r="E11" s="2" t="s">
        <v>3182</v>
      </c>
      <c r="F11">
        <f t="shared" si="0"/>
        <v>15999</v>
      </c>
      <c r="G11" t="str">
        <f t="shared" si="1"/>
        <v>No</v>
      </c>
      <c r="H11" t="str">
        <f t="shared" si="2"/>
        <v>No</v>
      </c>
      <c r="I11" t="str">
        <f t="shared" si="3"/>
        <v>Lenovo Keyboard</v>
      </c>
      <c r="J11" t="str">
        <f t="shared" si="4"/>
        <v>Unique</v>
      </c>
    </row>
    <row r="12" spans="1:10" x14ac:dyDescent="0.4">
      <c r="A12" s="2" t="s">
        <v>3196</v>
      </c>
      <c r="B12" s="2" t="s">
        <v>1180</v>
      </c>
      <c r="C12" s="2" t="s">
        <v>3187</v>
      </c>
      <c r="D12" s="2">
        <v>15999</v>
      </c>
      <c r="E12" s="2" t="s">
        <v>3182</v>
      </c>
      <c r="F12">
        <f t="shared" si="0"/>
        <v>15999</v>
      </c>
      <c r="G12" t="str">
        <f t="shared" si="1"/>
        <v>No</v>
      </c>
      <c r="H12" t="str">
        <f t="shared" si="2"/>
        <v>No</v>
      </c>
      <c r="I12" t="str">
        <f t="shared" si="3"/>
        <v>Canon Printer</v>
      </c>
      <c r="J12" t="str">
        <f t="shared" si="4"/>
        <v>Unique</v>
      </c>
    </row>
    <row r="13" spans="1:10" x14ac:dyDescent="0.4">
      <c r="A13" s="2" t="s">
        <v>3197</v>
      </c>
      <c r="B13" s="2" t="s">
        <v>1187</v>
      </c>
      <c r="C13" s="2" t="s">
        <v>3187</v>
      </c>
      <c r="D13" s="2"/>
      <c r="E13" s="2" t="s">
        <v>3198</v>
      </c>
      <c r="F13">
        <f t="shared" si="0"/>
        <v>12999</v>
      </c>
      <c r="G13" t="str">
        <f t="shared" si="1"/>
        <v>Yes</v>
      </c>
      <c r="H13" t="str">
        <f t="shared" si="2"/>
        <v>Missing Price</v>
      </c>
      <c r="I13" t="str">
        <f t="shared" si="3"/>
        <v>Apple Ipad</v>
      </c>
      <c r="J13" t="str">
        <f t="shared" si="4"/>
        <v>Unique</v>
      </c>
    </row>
    <row r="14" spans="1:10" x14ac:dyDescent="0.4">
      <c r="A14" s="2" t="s">
        <v>3199</v>
      </c>
      <c r="B14" s="2" t="s">
        <v>1187</v>
      </c>
      <c r="C14" s="2" t="s">
        <v>3181</v>
      </c>
      <c r="D14" s="2">
        <v>4999</v>
      </c>
      <c r="E14" s="2" t="s">
        <v>3198</v>
      </c>
      <c r="F14">
        <f t="shared" si="0"/>
        <v>4999</v>
      </c>
      <c r="G14" t="str">
        <f t="shared" si="1"/>
        <v>Yes</v>
      </c>
      <c r="H14" t="str">
        <f t="shared" si="2"/>
        <v>No</v>
      </c>
      <c r="I14" t="str">
        <f t="shared" si="3"/>
        <v>Apple Ipad</v>
      </c>
      <c r="J14" t="str">
        <f t="shared" si="4"/>
        <v>Unique</v>
      </c>
    </row>
    <row r="15" spans="1:10" x14ac:dyDescent="0.4">
      <c r="A15" s="2" t="s">
        <v>3200</v>
      </c>
      <c r="B15" s="2" t="s">
        <v>1171</v>
      </c>
      <c r="C15" s="2" t="s">
        <v>3181</v>
      </c>
      <c r="D15" s="2">
        <v>15999</v>
      </c>
      <c r="E15" s="2" t="s">
        <v>3198</v>
      </c>
      <c r="F15">
        <f t="shared" si="0"/>
        <v>15999</v>
      </c>
      <c r="G15" t="str">
        <f t="shared" si="1"/>
        <v>Yes</v>
      </c>
      <c r="H15" t="str">
        <f t="shared" si="2"/>
        <v>No</v>
      </c>
      <c r="I15" t="str">
        <f t="shared" si="3"/>
        <v>Asus Mouse</v>
      </c>
      <c r="J15" t="str">
        <f t="shared" si="4"/>
        <v>Unique</v>
      </c>
    </row>
    <row r="16" spans="1:10" x14ac:dyDescent="0.4">
      <c r="A16" s="2" t="s">
        <v>3201</v>
      </c>
      <c r="B16" s="2" t="s">
        <v>1171</v>
      </c>
      <c r="C16" s="2" t="s">
        <v>3184</v>
      </c>
      <c r="D16" s="2">
        <v>7999</v>
      </c>
      <c r="E16" s="2" t="s">
        <v>3182</v>
      </c>
      <c r="F16">
        <f t="shared" si="0"/>
        <v>7999</v>
      </c>
      <c r="G16" t="str">
        <f t="shared" si="1"/>
        <v>No</v>
      </c>
      <c r="H16" t="str">
        <f t="shared" si="2"/>
        <v>No</v>
      </c>
      <c r="I16" t="str">
        <f t="shared" si="3"/>
        <v>Asus Mouse</v>
      </c>
      <c r="J16" t="str">
        <f t="shared" si="4"/>
        <v>Unique</v>
      </c>
    </row>
    <row r="17" spans="1:10" x14ac:dyDescent="0.4">
      <c r="A17" s="2" t="s">
        <v>3202</v>
      </c>
      <c r="B17" s="2" t="s">
        <v>1173</v>
      </c>
      <c r="C17" s="2" t="s">
        <v>3181</v>
      </c>
      <c r="D17" s="2">
        <v>15999</v>
      </c>
      <c r="E17" s="2" t="s">
        <v>3185</v>
      </c>
      <c r="F17">
        <f t="shared" si="0"/>
        <v>15999</v>
      </c>
      <c r="G17" t="str">
        <f t="shared" si="1"/>
        <v>Yes</v>
      </c>
      <c r="H17" t="str">
        <f t="shared" si="2"/>
        <v>No</v>
      </c>
      <c r="I17" t="str">
        <f t="shared" si="3"/>
        <v>Dell Monitor</v>
      </c>
      <c r="J17" t="str">
        <f t="shared" si="4"/>
        <v>Unique</v>
      </c>
    </row>
    <row r="18" spans="1:10" x14ac:dyDescent="0.4">
      <c r="A18" s="2" t="s">
        <v>3203</v>
      </c>
      <c r="B18" s="2" t="s">
        <v>1173</v>
      </c>
      <c r="C18" s="2" t="s">
        <v>3189</v>
      </c>
      <c r="D18" s="2">
        <v>19999</v>
      </c>
      <c r="E18" s="2" t="s">
        <v>3185</v>
      </c>
      <c r="F18">
        <f t="shared" si="0"/>
        <v>19999</v>
      </c>
      <c r="G18" t="str">
        <f t="shared" si="1"/>
        <v>Yes</v>
      </c>
      <c r="H18" t="str">
        <f t="shared" si="2"/>
        <v>No</v>
      </c>
      <c r="I18" t="str">
        <f t="shared" si="3"/>
        <v>Dell Monitor</v>
      </c>
      <c r="J18" t="str">
        <f t="shared" si="4"/>
        <v>Unique</v>
      </c>
    </row>
    <row r="19" spans="1:10" x14ac:dyDescent="0.4">
      <c r="A19" s="2" t="s">
        <v>3204</v>
      </c>
      <c r="B19" s="2" t="s">
        <v>1175</v>
      </c>
      <c r="C19" s="2"/>
      <c r="D19" s="2">
        <v>15999</v>
      </c>
      <c r="E19" s="2" t="s">
        <v>3182</v>
      </c>
      <c r="F19">
        <f t="shared" si="0"/>
        <v>15999</v>
      </c>
      <c r="G19" t="str">
        <f t="shared" si="1"/>
        <v>No</v>
      </c>
      <c r="H19" t="str">
        <f t="shared" si="2"/>
        <v>No</v>
      </c>
      <c r="I19" t="str">
        <f t="shared" si="3"/>
        <v>Hp Laptop</v>
      </c>
      <c r="J19" t="str">
        <f t="shared" si="4"/>
        <v>Unique</v>
      </c>
    </row>
    <row r="20" spans="1:10" x14ac:dyDescent="0.4">
      <c r="A20" s="2" t="s">
        <v>3205</v>
      </c>
      <c r="B20" s="2" t="s">
        <v>1173</v>
      </c>
      <c r="C20" s="2" t="s">
        <v>3181</v>
      </c>
      <c r="D20" s="2">
        <v>4999</v>
      </c>
      <c r="E20" s="2" t="s">
        <v>3198</v>
      </c>
      <c r="F20">
        <f t="shared" si="0"/>
        <v>4999</v>
      </c>
      <c r="G20" t="str">
        <f t="shared" si="1"/>
        <v>Yes</v>
      </c>
      <c r="H20" t="str">
        <f t="shared" si="2"/>
        <v>No</v>
      </c>
      <c r="I20" t="str">
        <f t="shared" si="3"/>
        <v>Dell Monitor</v>
      </c>
      <c r="J20" t="str">
        <f t="shared" si="4"/>
        <v>Unique</v>
      </c>
    </row>
    <row r="21" spans="1:10" x14ac:dyDescent="0.4">
      <c r="A21" s="2" t="s">
        <v>3206</v>
      </c>
      <c r="B21" s="2" t="s">
        <v>1180</v>
      </c>
      <c r="C21" s="2"/>
      <c r="D21" s="2"/>
      <c r="E21" s="2" t="s">
        <v>3182</v>
      </c>
      <c r="F21">
        <f t="shared" si="0"/>
        <v>12999</v>
      </c>
      <c r="G21" t="str">
        <f t="shared" si="1"/>
        <v>No</v>
      </c>
      <c r="H21" t="str">
        <f t="shared" si="2"/>
        <v>Missing Price</v>
      </c>
      <c r="I21" t="str">
        <f t="shared" si="3"/>
        <v>Canon Printer</v>
      </c>
      <c r="J21" t="str">
        <f t="shared" si="4"/>
        <v>Unique</v>
      </c>
    </row>
    <row r="22" spans="1:10" x14ac:dyDescent="0.4">
      <c r="A22" s="2" t="s">
        <v>3207</v>
      </c>
      <c r="B22" s="2" t="s">
        <v>1173</v>
      </c>
      <c r="C22" s="2" t="s">
        <v>3187</v>
      </c>
      <c r="D22" s="2">
        <v>4999</v>
      </c>
      <c r="E22" s="2" t="s">
        <v>3185</v>
      </c>
      <c r="F22">
        <f t="shared" si="0"/>
        <v>4999</v>
      </c>
      <c r="G22" t="str">
        <f t="shared" si="1"/>
        <v>Yes</v>
      </c>
      <c r="H22" t="str">
        <f t="shared" si="2"/>
        <v>No</v>
      </c>
      <c r="I22" t="str">
        <f t="shared" si="3"/>
        <v>Dell Monitor</v>
      </c>
      <c r="J22" t="str">
        <f t="shared" si="4"/>
        <v>Unique</v>
      </c>
    </row>
    <row r="23" spans="1:10" x14ac:dyDescent="0.4">
      <c r="A23" s="2" t="s">
        <v>3208</v>
      </c>
      <c r="B23" s="2" t="s">
        <v>1180</v>
      </c>
      <c r="C23" s="2" t="s">
        <v>3184</v>
      </c>
      <c r="D23" s="2">
        <v>4999</v>
      </c>
      <c r="E23" s="2" t="s">
        <v>3185</v>
      </c>
      <c r="F23">
        <f t="shared" si="0"/>
        <v>4999</v>
      </c>
      <c r="G23" t="str">
        <f t="shared" si="1"/>
        <v>Yes</v>
      </c>
      <c r="H23" t="str">
        <f t="shared" si="2"/>
        <v>No</v>
      </c>
      <c r="I23" t="str">
        <f t="shared" si="3"/>
        <v>Canon Printer</v>
      </c>
      <c r="J23" t="str">
        <f t="shared" si="4"/>
        <v>Unique</v>
      </c>
    </row>
    <row r="24" spans="1:10" x14ac:dyDescent="0.4">
      <c r="A24" s="2" t="s">
        <v>3209</v>
      </c>
      <c r="B24" s="2" t="s">
        <v>1182</v>
      </c>
      <c r="C24" s="2" t="s">
        <v>3189</v>
      </c>
      <c r="D24" s="2"/>
      <c r="E24" s="2" t="s">
        <v>3185</v>
      </c>
      <c r="F24">
        <f t="shared" si="0"/>
        <v>12999</v>
      </c>
      <c r="G24" t="str">
        <f t="shared" si="1"/>
        <v>Yes</v>
      </c>
      <c r="H24" t="str">
        <f t="shared" si="2"/>
        <v>Missing Price</v>
      </c>
      <c r="I24" t="str">
        <f t="shared" si="3"/>
        <v>Lenovo Keyboard</v>
      </c>
      <c r="J24" t="str">
        <f t="shared" si="4"/>
        <v>Unique</v>
      </c>
    </row>
    <row r="25" spans="1:10" x14ac:dyDescent="0.4">
      <c r="A25" s="2" t="s">
        <v>3210</v>
      </c>
      <c r="B25" s="2" t="s">
        <v>1180</v>
      </c>
      <c r="C25" s="2" t="s">
        <v>3184</v>
      </c>
      <c r="D25" s="2">
        <v>19999</v>
      </c>
      <c r="E25" s="2" t="s">
        <v>3182</v>
      </c>
      <c r="F25">
        <f t="shared" si="0"/>
        <v>19999</v>
      </c>
      <c r="G25" t="str">
        <f t="shared" si="1"/>
        <v>No</v>
      </c>
      <c r="H25" t="str">
        <f t="shared" si="2"/>
        <v>No</v>
      </c>
      <c r="I25" t="str">
        <f t="shared" si="3"/>
        <v>Canon Printer</v>
      </c>
      <c r="J25" t="str">
        <f t="shared" si="4"/>
        <v>Unique</v>
      </c>
    </row>
    <row r="26" spans="1:10" x14ac:dyDescent="0.4">
      <c r="A26" s="2" t="s">
        <v>3211</v>
      </c>
      <c r="B26" s="2" t="s">
        <v>1180</v>
      </c>
      <c r="C26" s="2"/>
      <c r="D26" s="2">
        <v>7999</v>
      </c>
      <c r="E26" s="2" t="s">
        <v>3185</v>
      </c>
      <c r="F26">
        <f t="shared" si="0"/>
        <v>7999</v>
      </c>
      <c r="G26" t="str">
        <f t="shared" si="1"/>
        <v>Yes</v>
      </c>
      <c r="H26" t="str">
        <f t="shared" si="2"/>
        <v>No</v>
      </c>
      <c r="I26" t="str">
        <f t="shared" si="3"/>
        <v>Canon Printer</v>
      </c>
      <c r="J26" t="str">
        <f t="shared" si="4"/>
        <v>Unique</v>
      </c>
    </row>
    <row r="27" spans="1:10" x14ac:dyDescent="0.4">
      <c r="A27" s="2" t="s">
        <v>3212</v>
      </c>
      <c r="B27" s="2" t="s">
        <v>1180</v>
      </c>
      <c r="C27" s="2"/>
      <c r="D27" s="2"/>
      <c r="E27" s="2" t="s">
        <v>3185</v>
      </c>
      <c r="F27">
        <f t="shared" si="0"/>
        <v>12999</v>
      </c>
      <c r="G27" t="str">
        <f t="shared" si="1"/>
        <v>Yes</v>
      </c>
      <c r="H27" t="str">
        <f t="shared" si="2"/>
        <v>Missing Price</v>
      </c>
      <c r="I27" t="str">
        <f t="shared" si="3"/>
        <v>Canon Printer</v>
      </c>
      <c r="J27" t="str">
        <f t="shared" si="4"/>
        <v>Unique</v>
      </c>
    </row>
    <row r="28" spans="1:10" x14ac:dyDescent="0.4">
      <c r="A28" s="2" t="s">
        <v>3213</v>
      </c>
      <c r="B28" s="2" t="s">
        <v>1175</v>
      </c>
      <c r="C28" s="2" t="s">
        <v>3181</v>
      </c>
      <c r="D28" s="2">
        <v>4999</v>
      </c>
      <c r="E28" s="2" t="s">
        <v>3185</v>
      </c>
      <c r="F28">
        <f t="shared" si="0"/>
        <v>4999</v>
      </c>
      <c r="G28" t="str">
        <f t="shared" si="1"/>
        <v>Yes</v>
      </c>
      <c r="H28" t="str">
        <f t="shared" si="2"/>
        <v>No</v>
      </c>
      <c r="I28" t="str">
        <f t="shared" si="3"/>
        <v>Hp Laptop</v>
      </c>
      <c r="J28" t="str">
        <f t="shared" si="4"/>
        <v>Unique</v>
      </c>
    </row>
    <row r="29" spans="1:10" x14ac:dyDescent="0.4">
      <c r="A29" s="2" t="s">
        <v>3214</v>
      </c>
      <c r="B29" s="2" t="s">
        <v>1173</v>
      </c>
      <c r="C29" s="2" t="s">
        <v>3181</v>
      </c>
      <c r="D29" s="2"/>
      <c r="E29" s="2" t="s">
        <v>3185</v>
      </c>
      <c r="F29">
        <f t="shared" si="0"/>
        <v>12999</v>
      </c>
      <c r="G29" t="str">
        <f t="shared" si="1"/>
        <v>Yes</v>
      </c>
      <c r="H29" t="str">
        <f t="shared" si="2"/>
        <v>Missing Price</v>
      </c>
      <c r="I29" t="str">
        <f t="shared" si="3"/>
        <v>Dell Monitor</v>
      </c>
      <c r="J29" t="str">
        <f t="shared" si="4"/>
        <v>Unique</v>
      </c>
    </row>
    <row r="30" spans="1:10" x14ac:dyDescent="0.4">
      <c r="A30" s="2" t="s">
        <v>3215</v>
      </c>
      <c r="B30" s="2" t="s">
        <v>1173</v>
      </c>
      <c r="C30" s="2" t="s">
        <v>3181</v>
      </c>
      <c r="D30" s="2">
        <v>19999</v>
      </c>
      <c r="E30" s="2"/>
      <c r="F30">
        <f t="shared" si="0"/>
        <v>19999</v>
      </c>
      <c r="G30" t="str">
        <f t="shared" si="1"/>
        <v/>
      </c>
      <c r="H30" t="str">
        <f t="shared" si="2"/>
        <v>No</v>
      </c>
      <c r="I30" t="str">
        <f t="shared" si="3"/>
        <v>Dell Monitor</v>
      </c>
      <c r="J30" t="str">
        <f t="shared" si="4"/>
        <v>Unique</v>
      </c>
    </row>
    <row r="31" spans="1:10" x14ac:dyDescent="0.4">
      <c r="A31" s="2" t="s">
        <v>3216</v>
      </c>
      <c r="B31" s="2" t="s">
        <v>1171</v>
      </c>
      <c r="C31" s="2"/>
      <c r="D31" s="2">
        <v>15999</v>
      </c>
      <c r="E31" s="2" t="s">
        <v>3182</v>
      </c>
      <c r="F31">
        <f t="shared" si="0"/>
        <v>15999</v>
      </c>
      <c r="G31" t="str">
        <f t="shared" si="1"/>
        <v>No</v>
      </c>
      <c r="H31" t="str">
        <f t="shared" si="2"/>
        <v>No</v>
      </c>
      <c r="I31" t="str">
        <f t="shared" si="3"/>
        <v>Asus Mouse</v>
      </c>
      <c r="J31" t="str">
        <f t="shared" si="4"/>
        <v>Unique</v>
      </c>
    </row>
    <row r="32" spans="1:10" x14ac:dyDescent="0.4">
      <c r="A32" s="2" t="s">
        <v>3217</v>
      </c>
      <c r="B32" s="2" t="s">
        <v>1175</v>
      </c>
      <c r="C32" s="2" t="s">
        <v>3187</v>
      </c>
      <c r="D32" s="2">
        <v>15999</v>
      </c>
      <c r="E32" s="2" t="s">
        <v>3182</v>
      </c>
      <c r="F32">
        <f t="shared" si="0"/>
        <v>15999</v>
      </c>
      <c r="G32" t="str">
        <f t="shared" si="1"/>
        <v>No</v>
      </c>
      <c r="H32" t="str">
        <f t="shared" si="2"/>
        <v>No</v>
      </c>
      <c r="I32" t="str">
        <f t="shared" si="3"/>
        <v>Hp Laptop</v>
      </c>
      <c r="J32" t="str">
        <f t="shared" si="4"/>
        <v>Unique</v>
      </c>
    </row>
    <row r="33" spans="1:10" x14ac:dyDescent="0.4">
      <c r="A33" s="2" t="s">
        <v>3218</v>
      </c>
      <c r="B33" s="2" t="s">
        <v>1175</v>
      </c>
      <c r="C33" s="2" t="s">
        <v>3181</v>
      </c>
      <c r="D33" s="2">
        <v>7999</v>
      </c>
      <c r="E33" s="2" t="s">
        <v>3185</v>
      </c>
      <c r="F33">
        <f t="shared" si="0"/>
        <v>7999</v>
      </c>
      <c r="G33" t="str">
        <f t="shared" si="1"/>
        <v>Yes</v>
      </c>
      <c r="H33" t="str">
        <f t="shared" si="2"/>
        <v>No</v>
      </c>
      <c r="I33" t="str">
        <f t="shared" si="3"/>
        <v>Hp Laptop</v>
      </c>
      <c r="J33" t="str">
        <f t="shared" si="4"/>
        <v>Unique</v>
      </c>
    </row>
    <row r="34" spans="1:10" x14ac:dyDescent="0.4">
      <c r="A34" s="2" t="s">
        <v>3219</v>
      </c>
      <c r="B34" s="2" t="s">
        <v>1175</v>
      </c>
      <c r="C34" s="2"/>
      <c r="D34" s="2">
        <v>7999</v>
      </c>
      <c r="E34" s="2" t="s">
        <v>3198</v>
      </c>
      <c r="F34">
        <f t="shared" si="0"/>
        <v>7999</v>
      </c>
      <c r="G34" t="str">
        <f t="shared" si="1"/>
        <v>Yes</v>
      </c>
      <c r="H34" t="str">
        <f t="shared" si="2"/>
        <v>No</v>
      </c>
      <c r="I34" t="str">
        <f t="shared" si="3"/>
        <v>Hp Laptop</v>
      </c>
      <c r="J34" t="str">
        <f t="shared" si="4"/>
        <v>Unique</v>
      </c>
    </row>
    <row r="35" spans="1:10" x14ac:dyDescent="0.4">
      <c r="A35" s="2" t="s">
        <v>3220</v>
      </c>
      <c r="B35" s="2" t="s">
        <v>1171</v>
      </c>
      <c r="C35" s="2" t="s">
        <v>3181</v>
      </c>
      <c r="D35" s="2"/>
      <c r="E35" s="2" t="s">
        <v>3185</v>
      </c>
      <c r="F35">
        <f t="shared" si="0"/>
        <v>12999</v>
      </c>
      <c r="G35" t="str">
        <f t="shared" si="1"/>
        <v>Yes</v>
      </c>
      <c r="H35" t="str">
        <f t="shared" si="2"/>
        <v>Missing Price</v>
      </c>
      <c r="I35" t="str">
        <f t="shared" si="3"/>
        <v>Asus Mouse</v>
      </c>
      <c r="J35" t="str">
        <f t="shared" si="4"/>
        <v>Unique</v>
      </c>
    </row>
    <row r="36" spans="1:10" x14ac:dyDescent="0.4">
      <c r="A36" s="2" t="s">
        <v>3221</v>
      </c>
      <c r="B36" s="2" t="s">
        <v>1187</v>
      </c>
      <c r="C36" s="2" t="s">
        <v>3184</v>
      </c>
      <c r="D36" s="2"/>
      <c r="E36" s="2" t="s">
        <v>3182</v>
      </c>
      <c r="F36">
        <f t="shared" si="0"/>
        <v>12999</v>
      </c>
      <c r="G36" t="str">
        <f t="shared" si="1"/>
        <v>No</v>
      </c>
      <c r="H36" t="str">
        <f t="shared" si="2"/>
        <v>Missing Price</v>
      </c>
      <c r="I36" t="str">
        <f t="shared" si="3"/>
        <v>Apple Ipad</v>
      </c>
      <c r="J36" t="str">
        <f t="shared" si="4"/>
        <v>Unique</v>
      </c>
    </row>
    <row r="37" spans="1:10" x14ac:dyDescent="0.4">
      <c r="A37" s="2" t="s">
        <v>3222</v>
      </c>
      <c r="B37" s="2" t="s">
        <v>1175</v>
      </c>
      <c r="C37" s="2" t="s">
        <v>3181</v>
      </c>
      <c r="D37" s="2"/>
      <c r="E37" s="2"/>
      <c r="F37">
        <f t="shared" si="0"/>
        <v>12999</v>
      </c>
      <c r="G37" t="str">
        <f t="shared" si="1"/>
        <v/>
      </c>
      <c r="H37" t="str">
        <f t="shared" si="2"/>
        <v>Missing Price</v>
      </c>
      <c r="I37" t="str">
        <f t="shared" si="3"/>
        <v>Hp Laptop</v>
      </c>
      <c r="J37" t="str">
        <f t="shared" si="4"/>
        <v>Unique</v>
      </c>
    </row>
    <row r="38" spans="1:10" x14ac:dyDescent="0.4">
      <c r="A38" s="2" t="s">
        <v>3223</v>
      </c>
      <c r="B38" s="2" t="s">
        <v>1175</v>
      </c>
      <c r="C38" s="2" t="s">
        <v>3181</v>
      </c>
      <c r="D38" s="2">
        <v>12999</v>
      </c>
      <c r="E38" s="2" t="s">
        <v>3185</v>
      </c>
      <c r="F38">
        <f t="shared" si="0"/>
        <v>12999</v>
      </c>
      <c r="G38" t="str">
        <f t="shared" si="1"/>
        <v>Yes</v>
      </c>
      <c r="H38" t="str">
        <f t="shared" si="2"/>
        <v>No</v>
      </c>
      <c r="I38" t="str">
        <f t="shared" si="3"/>
        <v>Hp Laptop</v>
      </c>
      <c r="J38" t="str">
        <f t="shared" si="4"/>
        <v>Unique</v>
      </c>
    </row>
    <row r="39" spans="1:10" x14ac:dyDescent="0.4">
      <c r="A39" s="2" t="s">
        <v>3224</v>
      </c>
      <c r="B39" s="2" t="s">
        <v>1171</v>
      </c>
      <c r="C39" s="2" t="s">
        <v>3187</v>
      </c>
      <c r="D39" s="2">
        <v>4999</v>
      </c>
      <c r="E39" s="2"/>
      <c r="F39">
        <f t="shared" si="0"/>
        <v>4999</v>
      </c>
      <c r="G39" t="str">
        <f t="shared" si="1"/>
        <v/>
      </c>
      <c r="H39" t="str">
        <f t="shared" si="2"/>
        <v>No</v>
      </c>
      <c r="I39" t="str">
        <f t="shared" si="3"/>
        <v>Asus Mouse</v>
      </c>
      <c r="J39" t="str">
        <f t="shared" si="4"/>
        <v>Unique</v>
      </c>
    </row>
    <row r="40" spans="1:10" x14ac:dyDescent="0.4">
      <c r="A40" s="2" t="s">
        <v>3225</v>
      </c>
      <c r="B40" s="2" t="s">
        <v>1187</v>
      </c>
      <c r="C40" s="2" t="s">
        <v>3187</v>
      </c>
      <c r="D40" s="2">
        <v>4999</v>
      </c>
      <c r="E40" s="2" t="s">
        <v>3198</v>
      </c>
      <c r="F40">
        <f t="shared" si="0"/>
        <v>4999</v>
      </c>
      <c r="G40" t="str">
        <f t="shared" si="1"/>
        <v>Yes</v>
      </c>
      <c r="H40" t="str">
        <f t="shared" si="2"/>
        <v>No</v>
      </c>
      <c r="I40" t="str">
        <f t="shared" si="3"/>
        <v>Apple Ipad</v>
      </c>
      <c r="J40" t="str">
        <f t="shared" si="4"/>
        <v>Unique</v>
      </c>
    </row>
    <row r="41" spans="1:10" x14ac:dyDescent="0.4">
      <c r="A41" s="2" t="s">
        <v>3226</v>
      </c>
      <c r="B41" s="2" t="s">
        <v>1175</v>
      </c>
      <c r="C41" s="2" t="s">
        <v>3184</v>
      </c>
      <c r="D41" s="2">
        <v>19999</v>
      </c>
      <c r="E41" s="2" t="s">
        <v>3198</v>
      </c>
      <c r="F41">
        <f t="shared" si="0"/>
        <v>19999</v>
      </c>
      <c r="G41" t="str">
        <f t="shared" si="1"/>
        <v>Yes</v>
      </c>
      <c r="H41" t="str">
        <f t="shared" si="2"/>
        <v>No</v>
      </c>
      <c r="I41" t="str">
        <f t="shared" si="3"/>
        <v>Hp Laptop</v>
      </c>
      <c r="J41" t="str">
        <f t="shared" si="4"/>
        <v>Unique</v>
      </c>
    </row>
    <row r="42" spans="1:10" x14ac:dyDescent="0.4">
      <c r="A42" s="2" t="s">
        <v>3227</v>
      </c>
      <c r="B42" s="2" t="s">
        <v>1175</v>
      </c>
      <c r="C42" s="2" t="s">
        <v>3184</v>
      </c>
      <c r="D42" s="2">
        <v>7999</v>
      </c>
      <c r="E42" s="2" t="s">
        <v>3185</v>
      </c>
      <c r="F42">
        <f t="shared" si="0"/>
        <v>7999</v>
      </c>
      <c r="G42" t="str">
        <f t="shared" si="1"/>
        <v>Yes</v>
      </c>
      <c r="H42" t="str">
        <f t="shared" si="2"/>
        <v>No</v>
      </c>
      <c r="I42" t="str">
        <f t="shared" si="3"/>
        <v>Hp Laptop</v>
      </c>
      <c r="J42" t="str">
        <f t="shared" si="4"/>
        <v>Unique</v>
      </c>
    </row>
    <row r="43" spans="1:10" x14ac:dyDescent="0.4">
      <c r="A43" s="2" t="s">
        <v>3228</v>
      </c>
      <c r="B43" s="2" t="s">
        <v>1182</v>
      </c>
      <c r="C43" s="2" t="s">
        <v>3181</v>
      </c>
      <c r="D43" s="2">
        <v>15999</v>
      </c>
      <c r="E43" s="2"/>
      <c r="F43">
        <f t="shared" si="0"/>
        <v>15999</v>
      </c>
      <c r="G43" t="str">
        <f t="shared" si="1"/>
        <v/>
      </c>
      <c r="H43" t="str">
        <f t="shared" si="2"/>
        <v>No</v>
      </c>
      <c r="I43" t="str">
        <f t="shared" si="3"/>
        <v>Lenovo Keyboard</v>
      </c>
      <c r="J43" t="str">
        <f t="shared" si="4"/>
        <v>Unique</v>
      </c>
    </row>
    <row r="44" spans="1:10" x14ac:dyDescent="0.4">
      <c r="A44" s="2" t="s">
        <v>3229</v>
      </c>
      <c r="B44" s="2" t="s">
        <v>1187</v>
      </c>
      <c r="C44" s="2" t="s">
        <v>3189</v>
      </c>
      <c r="D44" s="2">
        <v>19999</v>
      </c>
      <c r="E44" s="2" t="s">
        <v>3198</v>
      </c>
      <c r="F44">
        <f t="shared" si="0"/>
        <v>19999</v>
      </c>
      <c r="G44" t="str">
        <f t="shared" si="1"/>
        <v>Yes</v>
      </c>
      <c r="H44" t="str">
        <f t="shared" si="2"/>
        <v>No</v>
      </c>
      <c r="I44" t="str">
        <f t="shared" si="3"/>
        <v>Apple Ipad</v>
      </c>
      <c r="J44" t="str">
        <f t="shared" si="4"/>
        <v>Unique</v>
      </c>
    </row>
    <row r="45" spans="1:10" x14ac:dyDescent="0.4">
      <c r="A45" s="2" t="s">
        <v>3230</v>
      </c>
      <c r="B45" s="2" t="s">
        <v>1173</v>
      </c>
      <c r="C45" s="2"/>
      <c r="D45" s="2">
        <v>19999</v>
      </c>
      <c r="E45" s="2" t="s">
        <v>3185</v>
      </c>
      <c r="F45">
        <f t="shared" si="0"/>
        <v>19999</v>
      </c>
      <c r="G45" t="str">
        <f t="shared" si="1"/>
        <v>Yes</v>
      </c>
      <c r="H45" t="str">
        <f t="shared" si="2"/>
        <v>No</v>
      </c>
      <c r="I45" t="str">
        <f t="shared" si="3"/>
        <v>Dell Monitor</v>
      </c>
      <c r="J45" t="str">
        <f t="shared" si="4"/>
        <v>Unique</v>
      </c>
    </row>
    <row r="46" spans="1:10" x14ac:dyDescent="0.4">
      <c r="A46" s="2" t="s">
        <v>3231</v>
      </c>
      <c r="B46" s="2" t="s">
        <v>1175</v>
      </c>
      <c r="C46" s="2"/>
      <c r="D46" s="2">
        <v>19999</v>
      </c>
      <c r="E46" s="2" t="s">
        <v>3198</v>
      </c>
      <c r="F46">
        <f t="shared" si="0"/>
        <v>19999</v>
      </c>
      <c r="G46" t="str">
        <f t="shared" si="1"/>
        <v>Yes</v>
      </c>
      <c r="H46" t="str">
        <f t="shared" si="2"/>
        <v>No</v>
      </c>
      <c r="I46" t="str">
        <f t="shared" si="3"/>
        <v>Hp Laptop</v>
      </c>
      <c r="J46" t="str">
        <f t="shared" si="4"/>
        <v>Unique</v>
      </c>
    </row>
    <row r="47" spans="1:10" x14ac:dyDescent="0.4">
      <c r="A47" s="2" t="s">
        <v>3232</v>
      </c>
      <c r="B47" s="2" t="s">
        <v>1180</v>
      </c>
      <c r="C47" s="2" t="s">
        <v>3181</v>
      </c>
      <c r="D47" s="2">
        <v>15999</v>
      </c>
      <c r="E47" s="2" t="s">
        <v>3182</v>
      </c>
      <c r="F47">
        <f t="shared" si="0"/>
        <v>15999</v>
      </c>
      <c r="G47" t="str">
        <f t="shared" si="1"/>
        <v>No</v>
      </c>
      <c r="H47" t="str">
        <f t="shared" si="2"/>
        <v>No</v>
      </c>
      <c r="I47" t="str">
        <f t="shared" si="3"/>
        <v>Canon Printer</v>
      </c>
      <c r="J47" t="str">
        <f t="shared" si="4"/>
        <v>Unique</v>
      </c>
    </row>
    <row r="48" spans="1:10" x14ac:dyDescent="0.4">
      <c r="A48" s="2" t="s">
        <v>3233</v>
      </c>
      <c r="B48" s="2" t="s">
        <v>1171</v>
      </c>
      <c r="C48" s="2" t="s">
        <v>3181</v>
      </c>
      <c r="D48" s="2">
        <v>15999</v>
      </c>
      <c r="E48" s="2"/>
      <c r="F48">
        <f t="shared" si="0"/>
        <v>15999</v>
      </c>
      <c r="G48" t="str">
        <f t="shared" si="1"/>
        <v/>
      </c>
      <c r="H48" t="str">
        <f t="shared" si="2"/>
        <v>No</v>
      </c>
      <c r="I48" t="str">
        <f t="shared" si="3"/>
        <v>Asus Mouse</v>
      </c>
      <c r="J48" t="str">
        <f t="shared" si="4"/>
        <v>Unique</v>
      </c>
    </row>
    <row r="49" spans="1:10" x14ac:dyDescent="0.4">
      <c r="A49" s="2" t="s">
        <v>3234</v>
      </c>
      <c r="B49" s="2" t="s">
        <v>1182</v>
      </c>
      <c r="C49" s="2"/>
      <c r="D49" s="2">
        <v>15999</v>
      </c>
      <c r="E49" s="2" t="s">
        <v>3185</v>
      </c>
      <c r="F49">
        <f t="shared" si="0"/>
        <v>15999</v>
      </c>
      <c r="G49" t="str">
        <f t="shared" si="1"/>
        <v>Yes</v>
      </c>
      <c r="H49" t="str">
        <f t="shared" si="2"/>
        <v>No</v>
      </c>
      <c r="I49" t="str">
        <f t="shared" si="3"/>
        <v>Lenovo Keyboard</v>
      </c>
      <c r="J49" t="str">
        <f t="shared" si="4"/>
        <v>Unique</v>
      </c>
    </row>
    <row r="50" spans="1:10" x14ac:dyDescent="0.4">
      <c r="A50" s="2" t="s">
        <v>3235</v>
      </c>
      <c r="B50" s="2" t="s">
        <v>1173</v>
      </c>
      <c r="C50" s="2"/>
      <c r="D50" s="2">
        <v>4999</v>
      </c>
      <c r="E50" s="2" t="s">
        <v>3198</v>
      </c>
      <c r="F50">
        <f t="shared" si="0"/>
        <v>4999</v>
      </c>
      <c r="G50" t="str">
        <f t="shared" si="1"/>
        <v>Yes</v>
      </c>
      <c r="H50" t="str">
        <f t="shared" si="2"/>
        <v>No</v>
      </c>
      <c r="I50" t="str">
        <f t="shared" si="3"/>
        <v>Dell Monitor</v>
      </c>
      <c r="J50" t="str">
        <f t="shared" si="4"/>
        <v>Unique</v>
      </c>
    </row>
    <row r="51" spans="1:10" x14ac:dyDescent="0.4">
      <c r="A51" s="2" t="s">
        <v>3236</v>
      </c>
      <c r="B51" s="2" t="s">
        <v>1173</v>
      </c>
      <c r="C51" s="2" t="s">
        <v>3184</v>
      </c>
      <c r="D51" s="2">
        <v>12999</v>
      </c>
      <c r="E51" s="2" t="s">
        <v>3198</v>
      </c>
      <c r="F51">
        <f t="shared" si="0"/>
        <v>12999</v>
      </c>
      <c r="G51" t="str">
        <f t="shared" si="1"/>
        <v>Yes</v>
      </c>
      <c r="H51" t="str">
        <f t="shared" si="2"/>
        <v>No</v>
      </c>
      <c r="I51" t="str">
        <f t="shared" si="3"/>
        <v>Dell Monitor</v>
      </c>
      <c r="J51" t="str">
        <f t="shared" si="4"/>
        <v>Unique</v>
      </c>
    </row>
    <row r="52" spans="1:10" x14ac:dyDescent="0.4">
      <c r="A52" s="2" t="s">
        <v>3237</v>
      </c>
      <c r="B52" s="2" t="s">
        <v>1180</v>
      </c>
      <c r="C52" s="2" t="s">
        <v>3181</v>
      </c>
      <c r="D52" s="2">
        <v>19999</v>
      </c>
      <c r="E52" s="2" t="s">
        <v>3182</v>
      </c>
      <c r="F52">
        <f t="shared" si="0"/>
        <v>19999</v>
      </c>
      <c r="G52" t="str">
        <f t="shared" si="1"/>
        <v>No</v>
      </c>
      <c r="H52" t="str">
        <f t="shared" si="2"/>
        <v>No</v>
      </c>
      <c r="I52" t="str">
        <f t="shared" si="3"/>
        <v>Canon Printer</v>
      </c>
      <c r="J52" t="str">
        <f t="shared" si="4"/>
        <v>Unique</v>
      </c>
    </row>
    <row r="53" spans="1:10" x14ac:dyDescent="0.4">
      <c r="A53" s="2" t="s">
        <v>3238</v>
      </c>
      <c r="B53" s="2" t="s">
        <v>1182</v>
      </c>
      <c r="C53" s="2" t="s">
        <v>3187</v>
      </c>
      <c r="D53" s="2">
        <v>15999</v>
      </c>
      <c r="E53" s="2" t="s">
        <v>3185</v>
      </c>
      <c r="F53">
        <f t="shared" si="0"/>
        <v>15999</v>
      </c>
      <c r="G53" t="str">
        <f t="shared" si="1"/>
        <v>Yes</v>
      </c>
      <c r="H53" t="str">
        <f t="shared" si="2"/>
        <v>No</v>
      </c>
      <c r="I53" t="str">
        <f t="shared" si="3"/>
        <v>Lenovo Keyboard</v>
      </c>
      <c r="J53" t="str">
        <f t="shared" si="4"/>
        <v>Unique</v>
      </c>
    </row>
    <row r="54" spans="1:10" x14ac:dyDescent="0.4">
      <c r="A54" s="2" t="s">
        <v>3239</v>
      </c>
      <c r="B54" s="2" t="s">
        <v>1171</v>
      </c>
      <c r="C54" s="2" t="s">
        <v>3181</v>
      </c>
      <c r="D54" s="2">
        <v>7999</v>
      </c>
      <c r="E54" s="2" t="s">
        <v>3198</v>
      </c>
      <c r="F54">
        <f t="shared" si="0"/>
        <v>7999</v>
      </c>
      <c r="G54" t="str">
        <f t="shared" si="1"/>
        <v>Yes</v>
      </c>
      <c r="H54" t="str">
        <f t="shared" si="2"/>
        <v>No</v>
      </c>
      <c r="I54" t="str">
        <f t="shared" si="3"/>
        <v>Asus Mouse</v>
      </c>
      <c r="J54" t="str">
        <f t="shared" si="4"/>
        <v>Unique</v>
      </c>
    </row>
    <row r="55" spans="1:10" x14ac:dyDescent="0.4">
      <c r="A55" s="2" t="s">
        <v>3240</v>
      </c>
      <c r="B55" s="2" t="s">
        <v>1180</v>
      </c>
      <c r="C55" s="2" t="s">
        <v>3181</v>
      </c>
      <c r="D55" s="2"/>
      <c r="E55" s="2"/>
      <c r="F55">
        <f t="shared" si="0"/>
        <v>12999</v>
      </c>
      <c r="G55" t="str">
        <f t="shared" si="1"/>
        <v/>
      </c>
      <c r="H55" t="str">
        <f t="shared" si="2"/>
        <v>Missing Price</v>
      </c>
      <c r="I55" t="str">
        <f t="shared" si="3"/>
        <v>Canon Printer</v>
      </c>
      <c r="J55" t="str">
        <f t="shared" si="4"/>
        <v>Unique</v>
      </c>
    </row>
    <row r="56" spans="1:10" x14ac:dyDescent="0.4">
      <c r="A56" s="2" t="s">
        <v>3241</v>
      </c>
      <c r="B56" s="2" t="s">
        <v>1173</v>
      </c>
      <c r="C56" s="2" t="s">
        <v>3187</v>
      </c>
      <c r="D56" s="2"/>
      <c r="E56" s="2" t="s">
        <v>3198</v>
      </c>
      <c r="F56">
        <f t="shared" si="0"/>
        <v>12999</v>
      </c>
      <c r="G56" t="str">
        <f t="shared" si="1"/>
        <v>Yes</v>
      </c>
      <c r="H56" t="str">
        <f t="shared" si="2"/>
        <v>Missing Price</v>
      </c>
      <c r="I56" t="str">
        <f t="shared" si="3"/>
        <v>Dell Monitor</v>
      </c>
      <c r="J56" t="str">
        <f t="shared" si="4"/>
        <v>Unique</v>
      </c>
    </row>
    <row r="57" spans="1:10" x14ac:dyDescent="0.4">
      <c r="A57" s="2" t="s">
        <v>3242</v>
      </c>
      <c r="B57" s="2" t="s">
        <v>1173</v>
      </c>
      <c r="C57" s="2" t="s">
        <v>3181</v>
      </c>
      <c r="D57" s="2">
        <v>7999</v>
      </c>
      <c r="E57" s="2"/>
      <c r="F57">
        <f t="shared" si="0"/>
        <v>7999</v>
      </c>
      <c r="G57" t="str">
        <f t="shared" si="1"/>
        <v/>
      </c>
      <c r="H57" t="str">
        <f t="shared" si="2"/>
        <v>No</v>
      </c>
      <c r="I57" t="str">
        <f t="shared" si="3"/>
        <v>Dell Monitor</v>
      </c>
      <c r="J57" t="str">
        <f t="shared" si="4"/>
        <v>Unique</v>
      </c>
    </row>
    <row r="58" spans="1:10" x14ac:dyDescent="0.4">
      <c r="A58" s="2" t="s">
        <v>3243</v>
      </c>
      <c r="B58" s="2" t="s">
        <v>1187</v>
      </c>
      <c r="C58" s="2" t="s">
        <v>3181</v>
      </c>
      <c r="D58" s="2">
        <v>7999</v>
      </c>
      <c r="E58" s="2" t="s">
        <v>3198</v>
      </c>
      <c r="F58">
        <f t="shared" si="0"/>
        <v>7999</v>
      </c>
      <c r="G58" t="str">
        <f t="shared" si="1"/>
        <v>Yes</v>
      </c>
      <c r="H58" t="str">
        <f t="shared" si="2"/>
        <v>No</v>
      </c>
      <c r="I58" t="str">
        <f t="shared" si="3"/>
        <v>Apple Ipad</v>
      </c>
      <c r="J58" t="str">
        <f t="shared" si="4"/>
        <v>Unique</v>
      </c>
    </row>
    <row r="59" spans="1:10" x14ac:dyDescent="0.4">
      <c r="A59" s="2" t="s">
        <v>3244</v>
      </c>
      <c r="B59" s="2" t="s">
        <v>1173</v>
      </c>
      <c r="C59" s="2" t="s">
        <v>3189</v>
      </c>
      <c r="D59" s="2">
        <v>7999</v>
      </c>
      <c r="E59" s="2" t="s">
        <v>3185</v>
      </c>
      <c r="F59">
        <f t="shared" si="0"/>
        <v>7999</v>
      </c>
      <c r="G59" t="str">
        <f t="shared" si="1"/>
        <v>Yes</v>
      </c>
      <c r="H59" t="str">
        <f t="shared" si="2"/>
        <v>No</v>
      </c>
      <c r="I59" t="str">
        <f t="shared" si="3"/>
        <v>Dell Monitor</v>
      </c>
      <c r="J59" t="str">
        <f t="shared" si="4"/>
        <v>Unique</v>
      </c>
    </row>
    <row r="60" spans="1:10" x14ac:dyDescent="0.4">
      <c r="A60" s="2" t="s">
        <v>3245</v>
      </c>
      <c r="B60" s="2" t="s">
        <v>1175</v>
      </c>
      <c r="C60" s="2" t="s">
        <v>3187</v>
      </c>
      <c r="D60" s="2">
        <v>12999</v>
      </c>
      <c r="E60" s="2" t="s">
        <v>3185</v>
      </c>
      <c r="F60">
        <f t="shared" si="0"/>
        <v>12999</v>
      </c>
      <c r="G60" t="str">
        <f t="shared" si="1"/>
        <v>Yes</v>
      </c>
      <c r="H60" t="str">
        <f t="shared" si="2"/>
        <v>No</v>
      </c>
      <c r="I60" t="str">
        <f t="shared" si="3"/>
        <v>Hp Laptop</v>
      </c>
      <c r="J60" t="str">
        <f t="shared" si="4"/>
        <v>Unique</v>
      </c>
    </row>
    <row r="61" spans="1:10" x14ac:dyDescent="0.4">
      <c r="A61" s="2" t="s">
        <v>3246</v>
      </c>
      <c r="B61" s="2" t="s">
        <v>1175</v>
      </c>
      <c r="C61" s="2" t="s">
        <v>3181</v>
      </c>
      <c r="D61" s="2"/>
      <c r="E61" s="2" t="s">
        <v>3185</v>
      </c>
      <c r="F61">
        <f t="shared" si="0"/>
        <v>12999</v>
      </c>
      <c r="G61" t="str">
        <f t="shared" si="1"/>
        <v>Yes</v>
      </c>
      <c r="H61" t="str">
        <f t="shared" si="2"/>
        <v>Missing Price</v>
      </c>
      <c r="I61" t="str">
        <f t="shared" si="3"/>
        <v>Hp Laptop</v>
      </c>
      <c r="J61" t="str">
        <f t="shared" si="4"/>
        <v>Unique</v>
      </c>
    </row>
    <row r="62" spans="1:10" x14ac:dyDescent="0.4">
      <c r="A62" s="2" t="s">
        <v>3247</v>
      </c>
      <c r="B62" s="2" t="s">
        <v>1180</v>
      </c>
      <c r="C62" s="2"/>
      <c r="D62" s="2">
        <v>12999</v>
      </c>
      <c r="E62" s="2"/>
      <c r="F62">
        <f t="shared" si="0"/>
        <v>12999</v>
      </c>
      <c r="G62" t="str">
        <f t="shared" si="1"/>
        <v/>
      </c>
      <c r="H62" t="str">
        <f t="shared" si="2"/>
        <v>No</v>
      </c>
      <c r="I62" t="str">
        <f t="shared" si="3"/>
        <v>Canon Printer</v>
      </c>
      <c r="J62" t="str">
        <f t="shared" si="4"/>
        <v>Unique</v>
      </c>
    </row>
    <row r="63" spans="1:10" x14ac:dyDescent="0.4">
      <c r="A63" s="2" t="s">
        <v>3248</v>
      </c>
      <c r="B63" s="2" t="s">
        <v>1182</v>
      </c>
      <c r="C63" s="2" t="s">
        <v>3189</v>
      </c>
      <c r="D63" s="2">
        <v>15999</v>
      </c>
      <c r="E63" s="2" t="s">
        <v>3185</v>
      </c>
      <c r="F63">
        <f t="shared" si="0"/>
        <v>15999</v>
      </c>
      <c r="G63" t="str">
        <f t="shared" si="1"/>
        <v>Yes</v>
      </c>
      <c r="H63" t="str">
        <f t="shared" si="2"/>
        <v>No</v>
      </c>
      <c r="I63" t="str">
        <f t="shared" si="3"/>
        <v>Lenovo Keyboard</v>
      </c>
      <c r="J63" t="str">
        <f t="shared" si="4"/>
        <v>Unique</v>
      </c>
    </row>
    <row r="64" spans="1:10" x14ac:dyDescent="0.4">
      <c r="A64" s="2" t="s">
        <v>3249</v>
      </c>
      <c r="B64" s="2" t="s">
        <v>1182</v>
      </c>
      <c r="C64" s="2" t="s">
        <v>3189</v>
      </c>
      <c r="D64" s="2"/>
      <c r="E64" s="2"/>
      <c r="F64">
        <f t="shared" si="0"/>
        <v>12999</v>
      </c>
      <c r="G64" t="str">
        <f t="shared" si="1"/>
        <v/>
      </c>
      <c r="H64" t="str">
        <f t="shared" si="2"/>
        <v>Missing Price</v>
      </c>
      <c r="I64" t="str">
        <f t="shared" si="3"/>
        <v>Lenovo Keyboard</v>
      </c>
      <c r="J64" t="str">
        <f t="shared" si="4"/>
        <v>Unique</v>
      </c>
    </row>
    <row r="65" spans="1:10" x14ac:dyDescent="0.4">
      <c r="A65" s="2" t="s">
        <v>3250</v>
      </c>
      <c r="B65" s="2" t="s">
        <v>1171</v>
      </c>
      <c r="C65" s="2" t="s">
        <v>3181</v>
      </c>
      <c r="D65" s="2">
        <v>7999</v>
      </c>
      <c r="E65" s="2"/>
      <c r="F65">
        <f t="shared" si="0"/>
        <v>7999</v>
      </c>
      <c r="G65" t="str">
        <f t="shared" si="1"/>
        <v/>
      </c>
      <c r="H65" t="str">
        <f t="shared" si="2"/>
        <v>No</v>
      </c>
      <c r="I65" t="str">
        <f t="shared" si="3"/>
        <v>Asus Mouse</v>
      </c>
      <c r="J65" t="str">
        <f t="shared" si="4"/>
        <v>Unique</v>
      </c>
    </row>
    <row r="66" spans="1:10" x14ac:dyDescent="0.4">
      <c r="A66" s="2" t="s">
        <v>3251</v>
      </c>
      <c r="B66" s="2" t="s">
        <v>1171</v>
      </c>
      <c r="C66" s="2"/>
      <c r="D66" s="2">
        <v>12999</v>
      </c>
      <c r="E66" s="2"/>
      <c r="F66">
        <f t="shared" si="0"/>
        <v>12999</v>
      </c>
      <c r="G66" t="str">
        <f t="shared" si="1"/>
        <v/>
      </c>
      <c r="H66" t="str">
        <f t="shared" si="2"/>
        <v>No</v>
      </c>
      <c r="I66" t="str">
        <f t="shared" si="3"/>
        <v>Asus Mouse</v>
      </c>
      <c r="J66" t="str">
        <f t="shared" si="4"/>
        <v>Unique</v>
      </c>
    </row>
    <row r="67" spans="1:10" x14ac:dyDescent="0.4">
      <c r="A67" s="2" t="s">
        <v>3252</v>
      </c>
      <c r="B67" s="2" t="s">
        <v>1187</v>
      </c>
      <c r="C67" s="2"/>
      <c r="D67" s="2">
        <v>4999</v>
      </c>
      <c r="E67" s="2" t="s">
        <v>3182</v>
      </c>
      <c r="F67">
        <f t="shared" ref="F67:F130" si="5">IF(D67="",MEDIAN($D$2:$D$501),D67)</f>
        <v>4999</v>
      </c>
      <c r="G67" t="str">
        <f t="shared" ref="G67:G130" si="6">PROPER(E67)</f>
        <v>No</v>
      </c>
      <c r="H67" t="str">
        <f t="shared" ref="H67:H130" si="7">IF(ISBLANK(D67),"Missing Price","No")</f>
        <v>No</v>
      </c>
      <c r="I67" t="str">
        <f t="shared" ref="I67:I130" si="8">PROPER(B67)</f>
        <v>Apple Ipad</v>
      </c>
      <c r="J67" t="str">
        <f t="shared" ref="J67:J130" si="9">IF(COUNTIF($A$2:$A$501,A67)&gt;1,"Duplicate","Unique")</f>
        <v>Unique</v>
      </c>
    </row>
    <row r="68" spans="1:10" x14ac:dyDescent="0.4">
      <c r="A68" s="2" t="s">
        <v>3253</v>
      </c>
      <c r="B68" s="2" t="s">
        <v>1182</v>
      </c>
      <c r="C68" s="2" t="s">
        <v>3184</v>
      </c>
      <c r="D68" s="2"/>
      <c r="E68" s="2" t="s">
        <v>3198</v>
      </c>
      <c r="F68">
        <f t="shared" si="5"/>
        <v>12999</v>
      </c>
      <c r="G68" t="str">
        <f t="shared" si="6"/>
        <v>Yes</v>
      </c>
      <c r="H68" t="str">
        <f t="shared" si="7"/>
        <v>Missing Price</v>
      </c>
      <c r="I68" t="str">
        <f t="shared" si="8"/>
        <v>Lenovo Keyboard</v>
      </c>
      <c r="J68" t="str">
        <f t="shared" si="9"/>
        <v>Unique</v>
      </c>
    </row>
    <row r="69" spans="1:10" x14ac:dyDescent="0.4">
      <c r="A69" s="2" t="s">
        <v>3254</v>
      </c>
      <c r="B69" s="2" t="s">
        <v>1187</v>
      </c>
      <c r="C69" s="2" t="s">
        <v>3184</v>
      </c>
      <c r="D69" s="2">
        <v>19999</v>
      </c>
      <c r="E69" s="2"/>
      <c r="F69">
        <f t="shared" si="5"/>
        <v>19999</v>
      </c>
      <c r="G69" t="str">
        <f t="shared" si="6"/>
        <v/>
      </c>
      <c r="H69" t="str">
        <f t="shared" si="7"/>
        <v>No</v>
      </c>
      <c r="I69" t="str">
        <f t="shared" si="8"/>
        <v>Apple Ipad</v>
      </c>
      <c r="J69" t="str">
        <f t="shared" si="9"/>
        <v>Unique</v>
      </c>
    </row>
    <row r="70" spans="1:10" x14ac:dyDescent="0.4">
      <c r="A70" s="2" t="s">
        <v>3255</v>
      </c>
      <c r="B70" s="2" t="s">
        <v>1171</v>
      </c>
      <c r="C70" s="2" t="s">
        <v>3181</v>
      </c>
      <c r="D70" s="2">
        <v>7999</v>
      </c>
      <c r="E70" s="2"/>
      <c r="F70">
        <f t="shared" si="5"/>
        <v>7999</v>
      </c>
      <c r="G70" t="str">
        <f t="shared" si="6"/>
        <v/>
      </c>
      <c r="H70" t="str">
        <f t="shared" si="7"/>
        <v>No</v>
      </c>
      <c r="I70" t="str">
        <f t="shared" si="8"/>
        <v>Asus Mouse</v>
      </c>
      <c r="J70" t="str">
        <f t="shared" si="9"/>
        <v>Unique</v>
      </c>
    </row>
    <row r="71" spans="1:10" x14ac:dyDescent="0.4">
      <c r="A71" s="2" t="s">
        <v>3256</v>
      </c>
      <c r="B71" s="2" t="s">
        <v>1173</v>
      </c>
      <c r="C71" s="2" t="s">
        <v>3181</v>
      </c>
      <c r="D71" s="2">
        <v>7999</v>
      </c>
      <c r="E71" s="2" t="s">
        <v>3198</v>
      </c>
      <c r="F71">
        <f t="shared" si="5"/>
        <v>7999</v>
      </c>
      <c r="G71" t="str">
        <f t="shared" si="6"/>
        <v>Yes</v>
      </c>
      <c r="H71" t="str">
        <f t="shared" si="7"/>
        <v>No</v>
      </c>
      <c r="I71" t="str">
        <f t="shared" si="8"/>
        <v>Dell Monitor</v>
      </c>
      <c r="J71" t="str">
        <f t="shared" si="9"/>
        <v>Unique</v>
      </c>
    </row>
    <row r="72" spans="1:10" x14ac:dyDescent="0.4">
      <c r="A72" s="2" t="s">
        <v>3257</v>
      </c>
      <c r="B72" s="2" t="s">
        <v>1180</v>
      </c>
      <c r="C72" s="2" t="s">
        <v>3181</v>
      </c>
      <c r="D72" s="2">
        <v>15999</v>
      </c>
      <c r="E72" s="2" t="s">
        <v>3185</v>
      </c>
      <c r="F72">
        <f t="shared" si="5"/>
        <v>15999</v>
      </c>
      <c r="G72" t="str">
        <f t="shared" si="6"/>
        <v>Yes</v>
      </c>
      <c r="H72" t="str">
        <f t="shared" si="7"/>
        <v>No</v>
      </c>
      <c r="I72" t="str">
        <f t="shared" si="8"/>
        <v>Canon Printer</v>
      </c>
      <c r="J72" t="str">
        <f t="shared" si="9"/>
        <v>Unique</v>
      </c>
    </row>
    <row r="73" spans="1:10" x14ac:dyDescent="0.4">
      <c r="A73" s="2" t="s">
        <v>3258</v>
      </c>
      <c r="B73" s="2" t="s">
        <v>1187</v>
      </c>
      <c r="C73" s="2" t="s">
        <v>3181</v>
      </c>
      <c r="D73" s="2">
        <v>12999</v>
      </c>
      <c r="E73" s="2" t="s">
        <v>3182</v>
      </c>
      <c r="F73">
        <f t="shared" si="5"/>
        <v>12999</v>
      </c>
      <c r="G73" t="str">
        <f t="shared" si="6"/>
        <v>No</v>
      </c>
      <c r="H73" t="str">
        <f t="shared" si="7"/>
        <v>No</v>
      </c>
      <c r="I73" t="str">
        <f t="shared" si="8"/>
        <v>Apple Ipad</v>
      </c>
      <c r="J73" t="str">
        <f t="shared" si="9"/>
        <v>Unique</v>
      </c>
    </row>
    <row r="74" spans="1:10" x14ac:dyDescent="0.4">
      <c r="A74" s="2" t="s">
        <v>3259</v>
      </c>
      <c r="B74" s="2" t="s">
        <v>1173</v>
      </c>
      <c r="C74" s="2" t="s">
        <v>3189</v>
      </c>
      <c r="D74" s="2">
        <v>15999</v>
      </c>
      <c r="E74" s="2" t="s">
        <v>3198</v>
      </c>
      <c r="F74">
        <f t="shared" si="5"/>
        <v>15999</v>
      </c>
      <c r="G74" t="str">
        <f t="shared" si="6"/>
        <v>Yes</v>
      </c>
      <c r="H74" t="str">
        <f t="shared" si="7"/>
        <v>No</v>
      </c>
      <c r="I74" t="str">
        <f t="shared" si="8"/>
        <v>Dell Monitor</v>
      </c>
      <c r="J74" t="str">
        <f t="shared" si="9"/>
        <v>Unique</v>
      </c>
    </row>
    <row r="75" spans="1:10" x14ac:dyDescent="0.4">
      <c r="A75" s="2" t="s">
        <v>3260</v>
      </c>
      <c r="B75" s="2" t="s">
        <v>1187</v>
      </c>
      <c r="C75" s="2" t="s">
        <v>3184</v>
      </c>
      <c r="D75" s="2">
        <v>4999</v>
      </c>
      <c r="E75" s="2"/>
      <c r="F75">
        <f t="shared" si="5"/>
        <v>4999</v>
      </c>
      <c r="G75" t="str">
        <f t="shared" si="6"/>
        <v/>
      </c>
      <c r="H75" t="str">
        <f t="shared" si="7"/>
        <v>No</v>
      </c>
      <c r="I75" t="str">
        <f t="shared" si="8"/>
        <v>Apple Ipad</v>
      </c>
      <c r="J75" t="str">
        <f t="shared" si="9"/>
        <v>Unique</v>
      </c>
    </row>
    <row r="76" spans="1:10" x14ac:dyDescent="0.4">
      <c r="A76" s="2" t="s">
        <v>3261</v>
      </c>
      <c r="B76" s="2" t="s">
        <v>1187</v>
      </c>
      <c r="C76" s="2" t="s">
        <v>3187</v>
      </c>
      <c r="D76" s="2">
        <v>19999</v>
      </c>
      <c r="E76" s="2" t="s">
        <v>3198</v>
      </c>
      <c r="F76">
        <f t="shared" si="5"/>
        <v>19999</v>
      </c>
      <c r="G76" t="str">
        <f t="shared" si="6"/>
        <v>Yes</v>
      </c>
      <c r="H76" t="str">
        <f t="shared" si="7"/>
        <v>No</v>
      </c>
      <c r="I76" t="str">
        <f t="shared" si="8"/>
        <v>Apple Ipad</v>
      </c>
      <c r="J76" t="str">
        <f t="shared" si="9"/>
        <v>Unique</v>
      </c>
    </row>
    <row r="77" spans="1:10" x14ac:dyDescent="0.4">
      <c r="A77" s="2" t="s">
        <v>3262</v>
      </c>
      <c r="B77" s="2" t="s">
        <v>1171</v>
      </c>
      <c r="C77" s="2" t="s">
        <v>3184</v>
      </c>
      <c r="D77" s="2">
        <v>4999</v>
      </c>
      <c r="E77" s="2"/>
      <c r="F77">
        <f t="shared" si="5"/>
        <v>4999</v>
      </c>
      <c r="G77" t="str">
        <f t="shared" si="6"/>
        <v/>
      </c>
      <c r="H77" t="str">
        <f t="shared" si="7"/>
        <v>No</v>
      </c>
      <c r="I77" t="str">
        <f t="shared" si="8"/>
        <v>Asus Mouse</v>
      </c>
      <c r="J77" t="str">
        <f t="shared" si="9"/>
        <v>Unique</v>
      </c>
    </row>
    <row r="78" spans="1:10" x14ac:dyDescent="0.4">
      <c r="A78" s="2" t="s">
        <v>3263</v>
      </c>
      <c r="B78" s="2" t="s">
        <v>1180</v>
      </c>
      <c r="C78" s="2" t="s">
        <v>3189</v>
      </c>
      <c r="D78" s="2">
        <v>15999</v>
      </c>
      <c r="E78" s="2" t="s">
        <v>3185</v>
      </c>
      <c r="F78">
        <f t="shared" si="5"/>
        <v>15999</v>
      </c>
      <c r="G78" t="str">
        <f t="shared" si="6"/>
        <v>Yes</v>
      </c>
      <c r="H78" t="str">
        <f t="shared" si="7"/>
        <v>No</v>
      </c>
      <c r="I78" t="str">
        <f t="shared" si="8"/>
        <v>Canon Printer</v>
      </c>
      <c r="J78" t="str">
        <f t="shared" si="9"/>
        <v>Unique</v>
      </c>
    </row>
    <row r="79" spans="1:10" x14ac:dyDescent="0.4">
      <c r="A79" s="2" t="s">
        <v>3264</v>
      </c>
      <c r="B79" s="2" t="s">
        <v>1180</v>
      </c>
      <c r="C79" s="2" t="s">
        <v>3189</v>
      </c>
      <c r="D79" s="2"/>
      <c r="E79" s="2" t="s">
        <v>3198</v>
      </c>
      <c r="F79">
        <f t="shared" si="5"/>
        <v>12999</v>
      </c>
      <c r="G79" t="str">
        <f t="shared" si="6"/>
        <v>Yes</v>
      </c>
      <c r="H79" t="str">
        <f t="shared" si="7"/>
        <v>Missing Price</v>
      </c>
      <c r="I79" t="str">
        <f t="shared" si="8"/>
        <v>Canon Printer</v>
      </c>
      <c r="J79" t="str">
        <f t="shared" si="9"/>
        <v>Unique</v>
      </c>
    </row>
    <row r="80" spans="1:10" x14ac:dyDescent="0.4">
      <c r="A80" s="2" t="s">
        <v>3265</v>
      </c>
      <c r="B80" s="2" t="s">
        <v>1180</v>
      </c>
      <c r="C80" s="2" t="s">
        <v>3187</v>
      </c>
      <c r="D80" s="2"/>
      <c r="E80" s="2" t="s">
        <v>3182</v>
      </c>
      <c r="F80">
        <f t="shared" si="5"/>
        <v>12999</v>
      </c>
      <c r="G80" t="str">
        <f t="shared" si="6"/>
        <v>No</v>
      </c>
      <c r="H80" t="str">
        <f t="shared" si="7"/>
        <v>Missing Price</v>
      </c>
      <c r="I80" t="str">
        <f t="shared" si="8"/>
        <v>Canon Printer</v>
      </c>
      <c r="J80" t="str">
        <f t="shared" si="9"/>
        <v>Unique</v>
      </c>
    </row>
    <row r="81" spans="1:10" x14ac:dyDescent="0.4">
      <c r="A81" s="2" t="s">
        <v>3266</v>
      </c>
      <c r="B81" s="2" t="s">
        <v>1187</v>
      </c>
      <c r="C81" s="2" t="s">
        <v>3181</v>
      </c>
      <c r="D81" s="2">
        <v>15999</v>
      </c>
      <c r="E81" s="2" t="s">
        <v>3198</v>
      </c>
      <c r="F81">
        <f t="shared" si="5"/>
        <v>15999</v>
      </c>
      <c r="G81" t="str">
        <f t="shared" si="6"/>
        <v>Yes</v>
      </c>
      <c r="H81" t="str">
        <f t="shared" si="7"/>
        <v>No</v>
      </c>
      <c r="I81" t="str">
        <f t="shared" si="8"/>
        <v>Apple Ipad</v>
      </c>
      <c r="J81" t="str">
        <f t="shared" si="9"/>
        <v>Unique</v>
      </c>
    </row>
    <row r="82" spans="1:10" x14ac:dyDescent="0.4">
      <c r="A82" s="2" t="s">
        <v>3267</v>
      </c>
      <c r="B82" s="2" t="s">
        <v>1171</v>
      </c>
      <c r="C82" s="2" t="s">
        <v>3184</v>
      </c>
      <c r="D82" s="2">
        <v>19999</v>
      </c>
      <c r="E82" s="2"/>
      <c r="F82">
        <f t="shared" si="5"/>
        <v>19999</v>
      </c>
      <c r="G82" t="str">
        <f t="shared" si="6"/>
        <v/>
      </c>
      <c r="H82" t="str">
        <f t="shared" si="7"/>
        <v>No</v>
      </c>
      <c r="I82" t="str">
        <f t="shared" si="8"/>
        <v>Asus Mouse</v>
      </c>
      <c r="J82" t="str">
        <f t="shared" si="9"/>
        <v>Unique</v>
      </c>
    </row>
    <row r="83" spans="1:10" x14ac:dyDescent="0.4">
      <c r="A83" s="2" t="s">
        <v>3268</v>
      </c>
      <c r="B83" s="2" t="s">
        <v>1187</v>
      </c>
      <c r="C83" s="2" t="s">
        <v>3181</v>
      </c>
      <c r="D83" s="2">
        <v>19999</v>
      </c>
      <c r="E83" s="2"/>
      <c r="F83">
        <f t="shared" si="5"/>
        <v>19999</v>
      </c>
      <c r="G83" t="str">
        <f t="shared" si="6"/>
        <v/>
      </c>
      <c r="H83" t="str">
        <f t="shared" si="7"/>
        <v>No</v>
      </c>
      <c r="I83" t="str">
        <f t="shared" si="8"/>
        <v>Apple Ipad</v>
      </c>
      <c r="J83" t="str">
        <f t="shared" si="9"/>
        <v>Unique</v>
      </c>
    </row>
    <row r="84" spans="1:10" x14ac:dyDescent="0.4">
      <c r="A84" s="2" t="s">
        <v>3269</v>
      </c>
      <c r="B84" s="2" t="s">
        <v>1180</v>
      </c>
      <c r="C84" s="2"/>
      <c r="D84" s="2">
        <v>15999</v>
      </c>
      <c r="E84" s="2" t="s">
        <v>3182</v>
      </c>
      <c r="F84">
        <f t="shared" si="5"/>
        <v>15999</v>
      </c>
      <c r="G84" t="str">
        <f t="shared" si="6"/>
        <v>No</v>
      </c>
      <c r="H84" t="str">
        <f t="shared" si="7"/>
        <v>No</v>
      </c>
      <c r="I84" t="str">
        <f t="shared" si="8"/>
        <v>Canon Printer</v>
      </c>
      <c r="J84" t="str">
        <f t="shared" si="9"/>
        <v>Unique</v>
      </c>
    </row>
    <row r="85" spans="1:10" x14ac:dyDescent="0.4">
      <c r="A85" s="2" t="s">
        <v>3270</v>
      </c>
      <c r="B85" s="2" t="s">
        <v>1180</v>
      </c>
      <c r="C85" s="2" t="s">
        <v>3181</v>
      </c>
      <c r="D85" s="2"/>
      <c r="E85" s="2"/>
      <c r="F85">
        <f t="shared" si="5"/>
        <v>12999</v>
      </c>
      <c r="G85" t="str">
        <f t="shared" si="6"/>
        <v/>
      </c>
      <c r="H85" t="str">
        <f t="shared" si="7"/>
        <v>Missing Price</v>
      </c>
      <c r="I85" t="str">
        <f t="shared" si="8"/>
        <v>Canon Printer</v>
      </c>
      <c r="J85" t="str">
        <f t="shared" si="9"/>
        <v>Unique</v>
      </c>
    </row>
    <row r="86" spans="1:10" x14ac:dyDescent="0.4">
      <c r="A86" s="2" t="s">
        <v>3271</v>
      </c>
      <c r="B86" s="2" t="s">
        <v>1187</v>
      </c>
      <c r="C86" s="2" t="s">
        <v>3181</v>
      </c>
      <c r="D86" s="2">
        <v>12999</v>
      </c>
      <c r="E86" s="2"/>
      <c r="F86">
        <f t="shared" si="5"/>
        <v>12999</v>
      </c>
      <c r="G86" t="str">
        <f t="shared" si="6"/>
        <v/>
      </c>
      <c r="H86" t="str">
        <f t="shared" si="7"/>
        <v>No</v>
      </c>
      <c r="I86" t="str">
        <f t="shared" si="8"/>
        <v>Apple Ipad</v>
      </c>
      <c r="J86" t="str">
        <f t="shared" si="9"/>
        <v>Unique</v>
      </c>
    </row>
    <row r="87" spans="1:10" x14ac:dyDescent="0.4">
      <c r="A87" s="2" t="s">
        <v>3272</v>
      </c>
      <c r="B87" s="2" t="s">
        <v>1182</v>
      </c>
      <c r="C87" s="2" t="s">
        <v>3184</v>
      </c>
      <c r="D87" s="2">
        <v>19999</v>
      </c>
      <c r="E87" s="2"/>
      <c r="F87">
        <f t="shared" si="5"/>
        <v>19999</v>
      </c>
      <c r="G87" t="str">
        <f t="shared" si="6"/>
        <v/>
      </c>
      <c r="H87" t="str">
        <f t="shared" si="7"/>
        <v>No</v>
      </c>
      <c r="I87" t="str">
        <f t="shared" si="8"/>
        <v>Lenovo Keyboard</v>
      </c>
      <c r="J87" t="str">
        <f t="shared" si="9"/>
        <v>Unique</v>
      </c>
    </row>
    <row r="88" spans="1:10" x14ac:dyDescent="0.4">
      <c r="A88" s="2" t="s">
        <v>3273</v>
      </c>
      <c r="B88" s="2" t="s">
        <v>1182</v>
      </c>
      <c r="C88" s="2" t="s">
        <v>3187</v>
      </c>
      <c r="D88" s="2">
        <v>19999</v>
      </c>
      <c r="E88" s="2" t="s">
        <v>3198</v>
      </c>
      <c r="F88">
        <f t="shared" si="5"/>
        <v>19999</v>
      </c>
      <c r="G88" t="str">
        <f t="shared" si="6"/>
        <v>Yes</v>
      </c>
      <c r="H88" t="str">
        <f t="shared" si="7"/>
        <v>No</v>
      </c>
      <c r="I88" t="str">
        <f t="shared" si="8"/>
        <v>Lenovo Keyboard</v>
      </c>
      <c r="J88" t="str">
        <f t="shared" si="9"/>
        <v>Unique</v>
      </c>
    </row>
    <row r="89" spans="1:10" x14ac:dyDescent="0.4">
      <c r="A89" s="2" t="s">
        <v>3274</v>
      </c>
      <c r="B89" s="2" t="s">
        <v>1171</v>
      </c>
      <c r="C89" s="2" t="s">
        <v>3181</v>
      </c>
      <c r="D89" s="2">
        <v>15999</v>
      </c>
      <c r="E89" s="2" t="s">
        <v>3198</v>
      </c>
      <c r="F89">
        <f t="shared" si="5"/>
        <v>15999</v>
      </c>
      <c r="G89" t="str">
        <f t="shared" si="6"/>
        <v>Yes</v>
      </c>
      <c r="H89" t="str">
        <f t="shared" si="7"/>
        <v>No</v>
      </c>
      <c r="I89" t="str">
        <f t="shared" si="8"/>
        <v>Asus Mouse</v>
      </c>
      <c r="J89" t="str">
        <f t="shared" si="9"/>
        <v>Unique</v>
      </c>
    </row>
    <row r="90" spans="1:10" x14ac:dyDescent="0.4">
      <c r="A90" s="2" t="s">
        <v>3275</v>
      </c>
      <c r="B90" s="2" t="s">
        <v>1187</v>
      </c>
      <c r="C90" s="2" t="s">
        <v>3184</v>
      </c>
      <c r="D90" s="2">
        <v>19999</v>
      </c>
      <c r="E90" s="2" t="s">
        <v>3182</v>
      </c>
      <c r="F90">
        <f t="shared" si="5"/>
        <v>19999</v>
      </c>
      <c r="G90" t="str">
        <f t="shared" si="6"/>
        <v>No</v>
      </c>
      <c r="H90" t="str">
        <f t="shared" si="7"/>
        <v>No</v>
      </c>
      <c r="I90" t="str">
        <f t="shared" si="8"/>
        <v>Apple Ipad</v>
      </c>
      <c r="J90" t="str">
        <f t="shared" si="9"/>
        <v>Unique</v>
      </c>
    </row>
    <row r="91" spans="1:10" x14ac:dyDescent="0.4">
      <c r="A91" s="2" t="s">
        <v>3276</v>
      </c>
      <c r="B91" s="2" t="s">
        <v>1173</v>
      </c>
      <c r="C91" s="2" t="s">
        <v>3181</v>
      </c>
      <c r="D91" s="2">
        <v>7999</v>
      </c>
      <c r="E91" s="2" t="s">
        <v>3182</v>
      </c>
      <c r="F91">
        <f t="shared" si="5"/>
        <v>7999</v>
      </c>
      <c r="G91" t="str">
        <f t="shared" si="6"/>
        <v>No</v>
      </c>
      <c r="H91" t="str">
        <f t="shared" si="7"/>
        <v>No</v>
      </c>
      <c r="I91" t="str">
        <f t="shared" si="8"/>
        <v>Dell Monitor</v>
      </c>
      <c r="J91" t="str">
        <f t="shared" si="9"/>
        <v>Unique</v>
      </c>
    </row>
    <row r="92" spans="1:10" x14ac:dyDescent="0.4">
      <c r="A92" s="2" t="s">
        <v>3277</v>
      </c>
      <c r="B92" s="2" t="s">
        <v>1175</v>
      </c>
      <c r="C92" s="2" t="s">
        <v>3184</v>
      </c>
      <c r="D92" s="2">
        <v>12999</v>
      </c>
      <c r="E92" s="2" t="s">
        <v>3185</v>
      </c>
      <c r="F92">
        <f t="shared" si="5"/>
        <v>12999</v>
      </c>
      <c r="G92" t="str">
        <f t="shared" si="6"/>
        <v>Yes</v>
      </c>
      <c r="H92" t="str">
        <f t="shared" si="7"/>
        <v>No</v>
      </c>
      <c r="I92" t="str">
        <f t="shared" si="8"/>
        <v>Hp Laptop</v>
      </c>
      <c r="J92" t="str">
        <f t="shared" si="9"/>
        <v>Unique</v>
      </c>
    </row>
    <row r="93" spans="1:10" x14ac:dyDescent="0.4">
      <c r="A93" s="2" t="s">
        <v>3278</v>
      </c>
      <c r="B93" s="2" t="s">
        <v>1171</v>
      </c>
      <c r="C93" s="2"/>
      <c r="D93" s="2">
        <v>15999</v>
      </c>
      <c r="E93" s="2"/>
      <c r="F93">
        <f t="shared" si="5"/>
        <v>15999</v>
      </c>
      <c r="G93" t="str">
        <f t="shared" si="6"/>
        <v/>
      </c>
      <c r="H93" t="str">
        <f t="shared" si="7"/>
        <v>No</v>
      </c>
      <c r="I93" t="str">
        <f t="shared" si="8"/>
        <v>Asus Mouse</v>
      </c>
      <c r="J93" t="str">
        <f t="shared" si="9"/>
        <v>Unique</v>
      </c>
    </row>
    <row r="94" spans="1:10" x14ac:dyDescent="0.4">
      <c r="A94" s="2" t="s">
        <v>3279</v>
      </c>
      <c r="B94" s="2" t="s">
        <v>1182</v>
      </c>
      <c r="C94" s="2" t="s">
        <v>3189</v>
      </c>
      <c r="D94" s="2">
        <v>7999</v>
      </c>
      <c r="E94" s="2" t="s">
        <v>3182</v>
      </c>
      <c r="F94">
        <f t="shared" si="5"/>
        <v>7999</v>
      </c>
      <c r="G94" t="str">
        <f t="shared" si="6"/>
        <v>No</v>
      </c>
      <c r="H94" t="str">
        <f t="shared" si="7"/>
        <v>No</v>
      </c>
      <c r="I94" t="str">
        <f t="shared" si="8"/>
        <v>Lenovo Keyboard</v>
      </c>
      <c r="J94" t="str">
        <f t="shared" si="9"/>
        <v>Unique</v>
      </c>
    </row>
    <row r="95" spans="1:10" x14ac:dyDescent="0.4">
      <c r="A95" s="2" t="s">
        <v>3280</v>
      </c>
      <c r="B95" s="2" t="s">
        <v>1182</v>
      </c>
      <c r="C95" s="2" t="s">
        <v>3189</v>
      </c>
      <c r="D95" s="2">
        <v>7999</v>
      </c>
      <c r="E95" s="2"/>
      <c r="F95">
        <f t="shared" si="5"/>
        <v>7999</v>
      </c>
      <c r="G95" t="str">
        <f t="shared" si="6"/>
        <v/>
      </c>
      <c r="H95" t="str">
        <f t="shared" si="7"/>
        <v>No</v>
      </c>
      <c r="I95" t="str">
        <f t="shared" si="8"/>
        <v>Lenovo Keyboard</v>
      </c>
      <c r="J95" t="str">
        <f t="shared" si="9"/>
        <v>Unique</v>
      </c>
    </row>
    <row r="96" spans="1:10" x14ac:dyDescent="0.4">
      <c r="A96" s="2" t="s">
        <v>3281</v>
      </c>
      <c r="B96" s="2" t="s">
        <v>1171</v>
      </c>
      <c r="C96" s="2" t="s">
        <v>3184</v>
      </c>
      <c r="D96" s="2">
        <v>15999</v>
      </c>
      <c r="E96" s="2" t="s">
        <v>3182</v>
      </c>
      <c r="F96">
        <f t="shared" si="5"/>
        <v>15999</v>
      </c>
      <c r="G96" t="str">
        <f t="shared" si="6"/>
        <v>No</v>
      </c>
      <c r="H96" t="str">
        <f t="shared" si="7"/>
        <v>No</v>
      </c>
      <c r="I96" t="str">
        <f t="shared" si="8"/>
        <v>Asus Mouse</v>
      </c>
      <c r="J96" t="str">
        <f t="shared" si="9"/>
        <v>Unique</v>
      </c>
    </row>
    <row r="97" spans="1:10" x14ac:dyDescent="0.4">
      <c r="A97" s="2" t="s">
        <v>3282</v>
      </c>
      <c r="B97" s="2" t="s">
        <v>1182</v>
      </c>
      <c r="C97" s="2" t="s">
        <v>3181</v>
      </c>
      <c r="D97" s="2">
        <v>15999</v>
      </c>
      <c r="E97" s="2" t="s">
        <v>3185</v>
      </c>
      <c r="F97">
        <f t="shared" si="5"/>
        <v>15999</v>
      </c>
      <c r="G97" t="str">
        <f t="shared" si="6"/>
        <v>Yes</v>
      </c>
      <c r="H97" t="str">
        <f t="shared" si="7"/>
        <v>No</v>
      </c>
      <c r="I97" t="str">
        <f t="shared" si="8"/>
        <v>Lenovo Keyboard</v>
      </c>
      <c r="J97" t="str">
        <f t="shared" si="9"/>
        <v>Unique</v>
      </c>
    </row>
    <row r="98" spans="1:10" x14ac:dyDescent="0.4">
      <c r="A98" s="2" t="s">
        <v>3283</v>
      </c>
      <c r="B98" s="2" t="s">
        <v>1173</v>
      </c>
      <c r="C98" s="2" t="s">
        <v>3189</v>
      </c>
      <c r="D98" s="2">
        <v>15999</v>
      </c>
      <c r="E98" s="2" t="s">
        <v>3182</v>
      </c>
      <c r="F98">
        <f t="shared" si="5"/>
        <v>15999</v>
      </c>
      <c r="G98" t="str">
        <f t="shared" si="6"/>
        <v>No</v>
      </c>
      <c r="H98" t="str">
        <f t="shared" si="7"/>
        <v>No</v>
      </c>
      <c r="I98" t="str">
        <f t="shared" si="8"/>
        <v>Dell Monitor</v>
      </c>
      <c r="J98" t="str">
        <f t="shared" si="9"/>
        <v>Unique</v>
      </c>
    </row>
    <row r="99" spans="1:10" x14ac:dyDescent="0.4">
      <c r="A99" s="2" t="s">
        <v>3284</v>
      </c>
      <c r="B99" s="2" t="s">
        <v>1182</v>
      </c>
      <c r="C99" s="2" t="s">
        <v>3184</v>
      </c>
      <c r="D99" s="2">
        <v>7999</v>
      </c>
      <c r="E99" s="2" t="s">
        <v>3198</v>
      </c>
      <c r="F99">
        <f t="shared" si="5"/>
        <v>7999</v>
      </c>
      <c r="G99" t="str">
        <f t="shared" si="6"/>
        <v>Yes</v>
      </c>
      <c r="H99" t="str">
        <f t="shared" si="7"/>
        <v>No</v>
      </c>
      <c r="I99" t="str">
        <f t="shared" si="8"/>
        <v>Lenovo Keyboard</v>
      </c>
      <c r="J99" t="str">
        <f t="shared" si="9"/>
        <v>Unique</v>
      </c>
    </row>
    <row r="100" spans="1:10" x14ac:dyDescent="0.4">
      <c r="A100" s="2" t="s">
        <v>3285</v>
      </c>
      <c r="B100" s="2" t="s">
        <v>1175</v>
      </c>
      <c r="C100" s="2" t="s">
        <v>3184</v>
      </c>
      <c r="D100" s="2">
        <v>4999</v>
      </c>
      <c r="E100" s="2"/>
      <c r="F100">
        <f t="shared" si="5"/>
        <v>4999</v>
      </c>
      <c r="G100" t="str">
        <f t="shared" si="6"/>
        <v/>
      </c>
      <c r="H100" t="str">
        <f t="shared" si="7"/>
        <v>No</v>
      </c>
      <c r="I100" t="str">
        <f t="shared" si="8"/>
        <v>Hp Laptop</v>
      </c>
      <c r="J100" t="str">
        <f t="shared" si="9"/>
        <v>Unique</v>
      </c>
    </row>
    <row r="101" spans="1:10" x14ac:dyDescent="0.4">
      <c r="A101" s="2" t="s">
        <v>3286</v>
      </c>
      <c r="B101" s="2" t="s">
        <v>1175</v>
      </c>
      <c r="C101" s="2"/>
      <c r="D101" s="2">
        <v>15999</v>
      </c>
      <c r="E101" s="2" t="s">
        <v>3198</v>
      </c>
      <c r="F101">
        <f t="shared" si="5"/>
        <v>15999</v>
      </c>
      <c r="G101" t="str">
        <f t="shared" si="6"/>
        <v>Yes</v>
      </c>
      <c r="H101" t="str">
        <f t="shared" si="7"/>
        <v>No</v>
      </c>
      <c r="I101" t="str">
        <f t="shared" si="8"/>
        <v>Hp Laptop</v>
      </c>
      <c r="J101" t="str">
        <f t="shared" si="9"/>
        <v>Unique</v>
      </c>
    </row>
    <row r="102" spans="1:10" x14ac:dyDescent="0.4">
      <c r="A102" s="2" t="s">
        <v>3287</v>
      </c>
      <c r="B102" s="2" t="s">
        <v>1187</v>
      </c>
      <c r="C102" s="2" t="s">
        <v>3181</v>
      </c>
      <c r="D102" s="2">
        <v>15999</v>
      </c>
      <c r="E102" s="2" t="s">
        <v>3182</v>
      </c>
      <c r="F102">
        <f t="shared" si="5"/>
        <v>15999</v>
      </c>
      <c r="G102" t="str">
        <f t="shared" si="6"/>
        <v>No</v>
      </c>
      <c r="H102" t="str">
        <f t="shared" si="7"/>
        <v>No</v>
      </c>
      <c r="I102" t="str">
        <f t="shared" si="8"/>
        <v>Apple Ipad</v>
      </c>
      <c r="J102" t="str">
        <f t="shared" si="9"/>
        <v>Unique</v>
      </c>
    </row>
    <row r="103" spans="1:10" x14ac:dyDescent="0.4">
      <c r="A103" s="2" t="s">
        <v>3288</v>
      </c>
      <c r="B103" s="2" t="s">
        <v>1173</v>
      </c>
      <c r="C103" s="2" t="s">
        <v>3189</v>
      </c>
      <c r="D103" s="2">
        <v>12999</v>
      </c>
      <c r="E103" s="2" t="s">
        <v>3182</v>
      </c>
      <c r="F103">
        <f t="shared" si="5"/>
        <v>12999</v>
      </c>
      <c r="G103" t="str">
        <f t="shared" si="6"/>
        <v>No</v>
      </c>
      <c r="H103" t="str">
        <f t="shared" si="7"/>
        <v>No</v>
      </c>
      <c r="I103" t="str">
        <f t="shared" si="8"/>
        <v>Dell Monitor</v>
      </c>
      <c r="J103" t="str">
        <f t="shared" si="9"/>
        <v>Unique</v>
      </c>
    </row>
    <row r="104" spans="1:10" x14ac:dyDescent="0.4">
      <c r="A104" s="2" t="s">
        <v>3289</v>
      </c>
      <c r="B104" s="2" t="s">
        <v>1182</v>
      </c>
      <c r="C104" s="2" t="s">
        <v>3181</v>
      </c>
      <c r="D104" s="2">
        <v>15999</v>
      </c>
      <c r="E104" s="2" t="s">
        <v>3185</v>
      </c>
      <c r="F104">
        <f t="shared" si="5"/>
        <v>15999</v>
      </c>
      <c r="G104" t="str">
        <f t="shared" si="6"/>
        <v>Yes</v>
      </c>
      <c r="H104" t="str">
        <f t="shared" si="7"/>
        <v>No</v>
      </c>
      <c r="I104" t="str">
        <f t="shared" si="8"/>
        <v>Lenovo Keyboard</v>
      </c>
      <c r="J104" t="str">
        <f t="shared" si="9"/>
        <v>Unique</v>
      </c>
    </row>
    <row r="105" spans="1:10" x14ac:dyDescent="0.4">
      <c r="A105" s="2" t="s">
        <v>3290</v>
      </c>
      <c r="B105" s="2" t="s">
        <v>1182</v>
      </c>
      <c r="C105" s="2" t="s">
        <v>3181</v>
      </c>
      <c r="D105" s="2">
        <v>19999</v>
      </c>
      <c r="E105" s="2" t="s">
        <v>3185</v>
      </c>
      <c r="F105">
        <f t="shared" si="5"/>
        <v>19999</v>
      </c>
      <c r="G105" t="str">
        <f t="shared" si="6"/>
        <v>Yes</v>
      </c>
      <c r="H105" t="str">
        <f t="shared" si="7"/>
        <v>No</v>
      </c>
      <c r="I105" t="str">
        <f t="shared" si="8"/>
        <v>Lenovo Keyboard</v>
      </c>
      <c r="J105" t="str">
        <f t="shared" si="9"/>
        <v>Unique</v>
      </c>
    </row>
    <row r="106" spans="1:10" x14ac:dyDescent="0.4">
      <c r="A106" s="2" t="s">
        <v>3291</v>
      </c>
      <c r="B106" s="2" t="s">
        <v>1171</v>
      </c>
      <c r="C106" s="2"/>
      <c r="D106" s="2">
        <v>19999</v>
      </c>
      <c r="E106" s="2" t="s">
        <v>3185</v>
      </c>
      <c r="F106">
        <f t="shared" si="5"/>
        <v>19999</v>
      </c>
      <c r="G106" t="str">
        <f t="shared" si="6"/>
        <v>Yes</v>
      </c>
      <c r="H106" t="str">
        <f t="shared" si="7"/>
        <v>No</v>
      </c>
      <c r="I106" t="str">
        <f t="shared" si="8"/>
        <v>Asus Mouse</v>
      </c>
      <c r="J106" t="str">
        <f t="shared" si="9"/>
        <v>Unique</v>
      </c>
    </row>
    <row r="107" spans="1:10" x14ac:dyDescent="0.4">
      <c r="A107" s="2" t="s">
        <v>3292</v>
      </c>
      <c r="B107" s="2" t="s">
        <v>1187</v>
      </c>
      <c r="C107" s="2" t="s">
        <v>3181</v>
      </c>
      <c r="D107" s="2">
        <v>12999</v>
      </c>
      <c r="E107" s="2" t="s">
        <v>3182</v>
      </c>
      <c r="F107">
        <f t="shared" si="5"/>
        <v>12999</v>
      </c>
      <c r="G107" t="str">
        <f t="shared" si="6"/>
        <v>No</v>
      </c>
      <c r="H107" t="str">
        <f t="shared" si="7"/>
        <v>No</v>
      </c>
      <c r="I107" t="str">
        <f t="shared" si="8"/>
        <v>Apple Ipad</v>
      </c>
      <c r="J107" t="str">
        <f t="shared" si="9"/>
        <v>Unique</v>
      </c>
    </row>
    <row r="108" spans="1:10" x14ac:dyDescent="0.4">
      <c r="A108" s="2" t="s">
        <v>3293</v>
      </c>
      <c r="B108" s="2" t="s">
        <v>1175</v>
      </c>
      <c r="C108" s="2" t="s">
        <v>3189</v>
      </c>
      <c r="D108" s="2">
        <v>12999</v>
      </c>
      <c r="E108" s="2" t="s">
        <v>3185</v>
      </c>
      <c r="F108">
        <f t="shared" si="5"/>
        <v>12999</v>
      </c>
      <c r="G108" t="str">
        <f t="shared" si="6"/>
        <v>Yes</v>
      </c>
      <c r="H108" t="str">
        <f t="shared" si="7"/>
        <v>No</v>
      </c>
      <c r="I108" t="str">
        <f t="shared" si="8"/>
        <v>Hp Laptop</v>
      </c>
      <c r="J108" t="str">
        <f t="shared" si="9"/>
        <v>Unique</v>
      </c>
    </row>
    <row r="109" spans="1:10" x14ac:dyDescent="0.4">
      <c r="A109" s="2" t="s">
        <v>3294</v>
      </c>
      <c r="B109" s="2" t="s">
        <v>1180</v>
      </c>
      <c r="C109" s="2" t="s">
        <v>3189</v>
      </c>
      <c r="D109" s="2">
        <v>4999</v>
      </c>
      <c r="E109" s="2" t="s">
        <v>3182</v>
      </c>
      <c r="F109">
        <f t="shared" si="5"/>
        <v>4999</v>
      </c>
      <c r="G109" t="str">
        <f t="shared" si="6"/>
        <v>No</v>
      </c>
      <c r="H109" t="str">
        <f t="shared" si="7"/>
        <v>No</v>
      </c>
      <c r="I109" t="str">
        <f t="shared" si="8"/>
        <v>Canon Printer</v>
      </c>
      <c r="J109" t="str">
        <f t="shared" si="9"/>
        <v>Unique</v>
      </c>
    </row>
    <row r="110" spans="1:10" x14ac:dyDescent="0.4">
      <c r="A110" s="2" t="s">
        <v>3295</v>
      </c>
      <c r="B110" s="2" t="s">
        <v>1171</v>
      </c>
      <c r="C110" s="2" t="s">
        <v>3181</v>
      </c>
      <c r="D110" s="2">
        <v>15999</v>
      </c>
      <c r="E110" s="2" t="s">
        <v>3182</v>
      </c>
      <c r="F110">
        <f t="shared" si="5"/>
        <v>15999</v>
      </c>
      <c r="G110" t="str">
        <f t="shared" si="6"/>
        <v>No</v>
      </c>
      <c r="H110" t="str">
        <f t="shared" si="7"/>
        <v>No</v>
      </c>
      <c r="I110" t="str">
        <f t="shared" si="8"/>
        <v>Asus Mouse</v>
      </c>
      <c r="J110" t="str">
        <f t="shared" si="9"/>
        <v>Unique</v>
      </c>
    </row>
    <row r="111" spans="1:10" x14ac:dyDescent="0.4">
      <c r="A111" s="2" t="s">
        <v>3296</v>
      </c>
      <c r="B111" s="2" t="s">
        <v>1171</v>
      </c>
      <c r="C111" s="2" t="s">
        <v>3187</v>
      </c>
      <c r="D111" s="2">
        <v>4999</v>
      </c>
      <c r="E111" s="2"/>
      <c r="F111">
        <f t="shared" si="5"/>
        <v>4999</v>
      </c>
      <c r="G111" t="str">
        <f t="shared" si="6"/>
        <v/>
      </c>
      <c r="H111" t="str">
        <f t="shared" si="7"/>
        <v>No</v>
      </c>
      <c r="I111" t="str">
        <f t="shared" si="8"/>
        <v>Asus Mouse</v>
      </c>
      <c r="J111" t="str">
        <f t="shared" si="9"/>
        <v>Unique</v>
      </c>
    </row>
    <row r="112" spans="1:10" x14ac:dyDescent="0.4">
      <c r="A112" s="2" t="s">
        <v>3297</v>
      </c>
      <c r="B112" s="2" t="s">
        <v>1182</v>
      </c>
      <c r="C112" s="2" t="s">
        <v>3184</v>
      </c>
      <c r="D112" s="2">
        <v>19999</v>
      </c>
      <c r="E112" s="2" t="s">
        <v>3198</v>
      </c>
      <c r="F112">
        <f t="shared" si="5"/>
        <v>19999</v>
      </c>
      <c r="G112" t="str">
        <f t="shared" si="6"/>
        <v>Yes</v>
      </c>
      <c r="H112" t="str">
        <f t="shared" si="7"/>
        <v>No</v>
      </c>
      <c r="I112" t="str">
        <f t="shared" si="8"/>
        <v>Lenovo Keyboard</v>
      </c>
      <c r="J112" t="str">
        <f t="shared" si="9"/>
        <v>Unique</v>
      </c>
    </row>
    <row r="113" spans="1:10" x14ac:dyDescent="0.4">
      <c r="A113" s="2" t="s">
        <v>3298</v>
      </c>
      <c r="B113" s="2" t="s">
        <v>1175</v>
      </c>
      <c r="C113" s="2" t="s">
        <v>3187</v>
      </c>
      <c r="D113" s="2">
        <v>7999</v>
      </c>
      <c r="E113" s="2"/>
      <c r="F113">
        <f t="shared" si="5"/>
        <v>7999</v>
      </c>
      <c r="G113" t="str">
        <f t="shared" si="6"/>
        <v/>
      </c>
      <c r="H113" t="str">
        <f t="shared" si="7"/>
        <v>No</v>
      </c>
      <c r="I113" t="str">
        <f t="shared" si="8"/>
        <v>Hp Laptop</v>
      </c>
      <c r="J113" t="str">
        <f t="shared" si="9"/>
        <v>Unique</v>
      </c>
    </row>
    <row r="114" spans="1:10" x14ac:dyDescent="0.4">
      <c r="A114" s="2" t="s">
        <v>3299</v>
      </c>
      <c r="B114" s="2" t="s">
        <v>1171</v>
      </c>
      <c r="C114" s="2"/>
      <c r="D114" s="2">
        <v>4999</v>
      </c>
      <c r="E114" s="2" t="s">
        <v>3198</v>
      </c>
      <c r="F114">
        <f t="shared" si="5"/>
        <v>4999</v>
      </c>
      <c r="G114" t="str">
        <f t="shared" si="6"/>
        <v>Yes</v>
      </c>
      <c r="H114" t="str">
        <f t="shared" si="7"/>
        <v>No</v>
      </c>
      <c r="I114" t="str">
        <f t="shared" si="8"/>
        <v>Asus Mouse</v>
      </c>
      <c r="J114" t="str">
        <f t="shared" si="9"/>
        <v>Unique</v>
      </c>
    </row>
    <row r="115" spans="1:10" x14ac:dyDescent="0.4">
      <c r="A115" s="2" t="s">
        <v>3300</v>
      </c>
      <c r="B115" s="2" t="s">
        <v>1182</v>
      </c>
      <c r="C115" s="2" t="s">
        <v>3181</v>
      </c>
      <c r="D115" s="2"/>
      <c r="E115" s="2" t="s">
        <v>3198</v>
      </c>
      <c r="F115">
        <f t="shared" si="5"/>
        <v>12999</v>
      </c>
      <c r="G115" t="str">
        <f t="shared" si="6"/>
        <v>Yes</v>
      </c>
      <c r="H115" t="str">
        <f t="shared" si="7"/>
        <v>Missing Price</v>
      </c>
      <c r="I115" t="str">
        <f t="shared" si="8"/>
        <v>Lenovo Keyboard</v>
      </c>
      <c r="J115" t="str">
        <f t="shared" si="9"/>
        <v>Unique</v>
      </c>
    </row>
    <row r="116" spans="1:10" x14ac:dyDescent="0.4">
      <c r="A116" s="2" t="s">
        <v>3301</v>
      </c>
      <c r="B116" s="2" t="s">
        <v>1187</v>
      </c>
      <c r="C116" s="2" t="s">
        <v>3181</v>
      </c>
      <c r="D116" s="2"/>
      <c r="E116" s="2" t="s">
        <v>3182</v>
      </c>
      <c r="F116">
        <f t="shared" si="5"/>
        <v>12999</v>
      </c>
      <c r="G116" t="str">
        <f t="shared" si="6"/>
        <v>No</v>
      </c>
      <c r="H116" t="str">
        <f t="shared" si="7"/>
        <v>Missing Price</v>
      </c>
      <c r="I116" t="str">
        <f t="shared" si="8"/>
        <v>Apple Ipad</v>
      </c>
      <c r="J116" t="str">
        <f t="shared" si="9"/>
        <v>Unique</v>
      </c>
    </row>
    <row r="117" spans="1:10" x14ac:dyDescent="0.4">
      <c r="A117" s="2" t="s">
        <v>3302</v>
      </c>
      <c r="B117" s="2" t="s">
        <v>1173</v>
      </c>
      <c r="C117" s="2" t="s">
        <v>3181</v>
      </c>
      <c r="D117" s="2"/>
      <c r="E117" s="2" t="s">
        <v>3185</v>
      </c>
      <c r="F117">
        <f t="shared" si="5"/>
        <v>12999</v>
      </c>
      <c r="G117" t="str">
        <f t="shared" si="6"/>
        <v>Yes</v>
      </c>
      <c r="H117" t="str">
        <f t="shared" si="7"/>
        <v>Missing Price</v>
      </c>
      <c r="I117" t="str">
        <f t="shared" si="8"/>
        <v>Dell Monitor</v>
      </c>
      <c r="J117" t="str">
        <f t="shared" si="9"/>
        <v>Unique</v>
      </c>
    </row>
    <row r="118" spans="1:10" x14ac:dyDescent="0.4">
      <c r="A118" s="2" t="s">
        <v>3303</v>
      </c>
      <c r="B118" s="2" t="s">
        <v>1175</v>
      </c>
      <c r="C118" s="2"/>
      <c r="D118" s="2">
        <v>12999</v>
      </c>
      <c r="E118" s="2" t="s">
        <v>3185</v>
      </c>
      <c r="F118">
        <f t="shared" si="5"/>
        <v>12999</v>
      </c>
      <c r="G118" t="str">
        <f t="shared" si="6"/>
        <v>Yes</v>
      </c>
      <c r="H118" t="str">
        <f t="shared" si="7"/>
        <v>No</v>
      </c>
      <c r="I118" t="str">
        <f t="shared" si="8"/>
        <v>Hp Laptop</v>
      </c>
      <c r="J118" t="str">
        <f t="shared" si="9"/>
        <v>Unique</v>
      </c>
    </row>
    <row r="119" spans="1:10" x14ac:dyDescent="0.4">
      <c r="A119" s="2" t="s">
        <v>3304</v>
      </c>
      <c r="B119" s="2" t="s">
        <v>1187</v>
      </c>
      <c r="C119" s="2" t="s">
        <v>3184</v>
      </c>
      <c r="D119" s="2">
        <v>19999</v>
      </c>
      <c r="E119" s="2" t="s">
        <v>3185</v>
      </c>
      <c r="F119">
        <f t="shared" si="5"/>
        <v>19999</v>
      </c>
      <c r="G119" t="str">
        <f t="shared" si="6"/>
        <v>Yes</v>
      </c>
      <c r="H119" t="str">
        <f t="shared" si="7"/>
        <v>No</v>
      </c>
      <c r="I119" t="str">
        <f t="shared" si="8"/>
        <v>Apple Ipad</v>
      </c>
      <c r="J119" t="str">
        <f t="shared" si="9"/>
        <v>Unique</v>
      </c>
    </row>
    <row r="120" spans="1:10" x14ac:dyDescent="0.4">
      <c r="A120" s="2" t="s">
        <v>3305</v>
      </c>
      <c r="B120" s="2" t="s">
        <v>1182</v>
      </c>
      <c r="C120" s="2" t="s">
        <v>3184</v>
      </c>
      <c r="D120" s="2"/>
      <c r="E120" s="2"/>
      <c r="F120">
        <f t="shared" si="5"/>
        <v>12999</v>
      </c>
      <c r="G120" t="str">
        <f t="shared" si="6"/>
        <v/>
      </c>
      <c r="H120" t="str">
        <f t="shared" si="7"/>
        <v>Missing Price</v>
      </c>
      <c r="I120" t="str">
        <f t="shared" si="8"/>
        <v>Lenovo Keyboard</v>
      </c>
      <c r="J120" t="str">
        <f t="shared" si="9"/>
        <v>Unique</v>
      </c>
    </row>
    <row r="121" spans="1:10" x14ac:dyDescent="0.4">
      <c r="A121" s="2" t="s">
        <v>3306</v>
      </c>
      <c r="B121" s="2" t="s">
        <v>1173</v>
      </c>
      <c r="C121" s="2" t="s">
        <v>3187</v>
      </c>
      <c r="D121" s="2">
        <v>19999</v>
      </c>
      <c r="E121" s="2" t="s">
        <v>3185</v>
      </c>
      <c r="F121">
        <f t="shared" si="5"/>
        <v>19999</v>
      </c>
      <c r="G121" t="str">
        <f t="shared" si="6"/>
        <v>Yes</v>
      </c>
      <c r="H121" t="str">
        <f t="shared" si="7"/>
        <v>No</v>
      </c>
      <c r="I121" t="str">
        <f t="shared" si="8"/>
        <v>Dell Monitor</v>
      </c>
      <c r="J121" t="str">
        <f t="shared" si="9"/>
        <v>Unique</v>
      </c>
    </row>
    <row r="122" spans="1:10" x14ac:dyDescent="0.4">
      <c r="A122" s="2" t="s">
        <v>3307</v>
      </c>
      <c r="B122" s="2" t="s">
        <v>1171</v>
      </c>
      <c r="C122" s="2" t="s">
        <v>3187</v>
      </c>
      <c r="D122" s="2">
        <v>4999</v>
      </c>
      <c r="E122" s="2" t="s">
        <v>3182</v>
      </c>
      <c r="F122">
        <f t="shared" si="5"/>
        <v>4999</v>
      </c>
      <c r="G122" t="str">
        <f t="shared" si="6"/>
        <v>No</v>
      </c>
      <c r="H122" t="str">
        <f t="shared" si="7"/>
        <v>No</v>
      </c>
      <c r="I122" t="str">
        <f t="shared" si="8"/>
        <v>Asus Mouse</v>
      </c>
      <c r="J122" t="str">
        <f t="shared" si="9"/>
        <v>Unique</v>
      </c>
    </row>
    <row r="123" spans="1:10" x14ac:dyDescent="0.4">
      <c r="A123" s="2" t="s">
        <v>3308</v>
      </c>
      <c r="B123" s="2" t="s">
        <v>1187</v>
      </c>
      <c r="C123" s="2" t="s">
        <v>3189</v>
      </c>
      <c r="D123" s="2">
        <v>15999</v>
      </c>
      <c r="E123" s="2" t="s">
        <v>3185</v>
      </c>
      <c r="F123">
        <f t="shared" si="5"/>
        <v>15999</v>
      </c>
      <c r="G123" t="str">
        <f t="shared" si="6"/>
        <v>Yes</v>
      </c>
      <c r="H123" t="str">
        <f t="shared" si="7"/>
        <v>No</v>
      </c>
      <c r="I123" t="str">
        <f t="shared" si="8"/>
        <v>Apple Ipad</v>
      </c>
      <c r="J123" t="str">
        <f t="shared" si="9"/>
        <v>Unique</v>
      </c>
    </row>
    <row r="124" spans="1:10" x14ac:dyDescent="0.4">
      <c r="A124" s="2" t="s">
        <v>3309</v>
      </c>
      <c r="B124" s="2" t="s">
        <v>1171</v>
      </c>
      <c r="C124" s="2" t="s">
        <v>3187</v>
      </c>
      <c r="D124" s="2">
        <v>12999</v>
      </c>
      <c r="E124" s="2" t="s">
        <v>3185</v>
      </c>
      <c r="F124">
        <f t="shared" si="5"/>
        <v>12999</v>
      </c>
      <c r="G124" t="str">
        <f t="shared" si="6"/>
        <v>Yes</v>
      </c>
      <c r="H124" t="str">
        <f t="shared" si="7"/>
        <v>No</v>
      </c>
      <c r="I124" t="str">
        <f t="shared" si="8"/>
        <v>Asus Mouse</v>
      </c>
      <c r="J124" t="str">
        <f t="shared" si="9"/>
        <v>Unique</v>
      </c>
    </row>
    <row r="125" spans="1:10" x14ac:dyDescent="0.4">
      <c r="A125" s="2" t="s">
        <v>3310</v>
      </c>
      <c r="B125" s="2" t="s">
        <v>1171</v>
      </c>
      <c r="C125" s="2" t="s">
        <v>3187</v>
      </c>
      <c r="D125" s="2">
        <v>12999</v>
      </c>
      <c r="E125" s="2" t="s">
        <v>3185</v>
      </c>
      <c r="F125">
        <f t="shared" si="5"/>
        <v>12999</v>
      </c>
      <c r="G125" t="str">
        <f t="shared" si="6"/>
        <v>Yes</v>
      </c>
      <c r="H125" t="str">
        <f t="shared" si="7"/>
        <v>No</v>
      </c>
      <c r="I125" t="str">
        <f t="shared" si="8"/>
        <v>Asus Mouse</v>
      </c>
      <c r="J125" t="str">
        <f t="shared" si="9"/>
        <v>Unique</v>
      </c>
    </row>
    <row r="126" spans="1:10" x14ac:dyDescent="0.4">
      <c r="A126" s="2" t="s">
        <v>3311</v>
      </c>
      <c r="B126" s="2" t="s">
        <v>1173</v>
      </c>
      <c r="C126" s="2" t="s">
        <v>3181</v>
      </c>
      <c r="D126" s="2"/>
      <c r="E126" s="2"/>
      <c r="F126">
        <f t="shared" si="5"/>
        <v>12999</v>
      </c>
      <c r="G126" t="str">
        <f t="shared" si="6"/>
        <v/>
      </c>
      <c r="H126" t="str">
        <f t="shared" si="7"/>
        <v>Missing Price</v>
      </c>
      <c r="I126" t="str">
        <f t="shared" si="8"/>
        <v>Dell Monitor</v>
      </c>
      <c r="J126" t="str">
        <f t="shared" si="9"/>
        <v>Unique</v>
      </c>
    </row>
    <row r="127" spans="1:10" x14ac:dyDescent="0.4">
      <c r="A127" s="2" t="s">
        <v>3312</v>
      </c>
      <c r="B127" s="2" t="s">
        <v>1173</v>
      </c>
      <c r="C127" s="2"/>
      <c r="D127" s="2">
        <v>7999</v>
      </c>
      <c r="E127" s="2" t="s">
        <v>3182</v>
      </c>
      <c r="F127">
        <f t="shared" si="5"/>
        <v>7999</v>
      </c>
      <c r="G127" t="str">
        <f t="shared" si="6"/>
        <v>No</v>
      </c>
      <c r="H127" t="str">
        <f t="shared" si="7"/>
        <v>No</v>
      </c>
      <c r="I127" t="str">
        <f t="shared" si="8"/>
        <v>Dell Monitor</v>
      </c>
      <c r="J127" t="str">
        <f t="shared" si="9"/>
        <v>Unique</v>
      </c>
    </row>
    <row r="128" spans="1:10" x14ac:dyDescent="0.4">
      <c r="A128" s="2" t="s">
        <v>3313</v>
      </c>
      <c r="B128" s="2" t="s">
        <v>1180</v>
      </c>
      <c r="C128" s="2" t="s">
        <v>3181</v>
      </c>
      <c r="D128" s="2">
        <v>7999</v>
      </c>
      <c r="E128" s="2" t="s">
        <v>3185</v>
      </c>
      <c r="F128">
        <f t="shared" si="5"/>
        <v>7999</v>
      </c>
      <c r="G128" t="str">
        <f t="shared" si="6"/>
        <v>Yes</v>
      </c>
      <c r="H128" t="str">
        <f t="shared" si="7"/>
        <v>No</v>
      </c>
      <c r="I128" t="str">
        <f t="shared" si="8"/>
        <v>Canon Printer</v>
      </c>
      <c r="J128" t="str">
        <f t="shared" si="9"/>
        <v>Unique</v>
      </c>
    </row>
    <row r="129" spans="1:10" x14ac:dyDescent="0.4">
      <c r="A129" s="2" t="s">
        <v>3314</v>
      </c>
      <c r="B129" s="2" t="s">
        <v>1180</v>
      </c>
      <c r="C129" s="2" t="s">
        <v>3187</v>
      </c>
      <c r="D129" s="2">
        <v>15999</v>
      </c>
      <c r="E129" s="2" t="s">
        <v>3198</v>
      </c>
      <c r="F129">
        <f t="shared" si="5"/>
        <v>15999</v>
      </c>
      <c r="G129" t="str">
        <f t="shared" si="6"/>
        <v>Yes</v>
      </c>
      <c r="H129" t="str">
        <f t="shared" si="7"/>
        <v>No</v>
      </c>
      <c r="I129" t="str">
        <f t="shared" si="8"/>
        <v>Canon Printer</v>
      </c>
      <c r="J129" t="str">
        <f t="shared" si="9"/>
        <v>Unique</v>
      </c>
    </row>
    <row r="130" spans="1:10" x14ac:dyDescent="0.4">
      <c r="A130" s="2" t="s">
        <v>3315</v>
      </c>
      <c r="B130" s="2" t="s">
        <v>1180</v>
      </c>
      <c r="C130" s="2" t="s">
        <v>3189</v>
      </c>
      <c r="D130" s="2">
        <v>19999</v>
      </c>
      <c r="E130" s="2"/>
      <c r="F130">
        <f t="shared" si="5"/>
        <v>19999</v>
      </c>
      <c r="G130" t="str">
        <f t="shared" si="6"/>
        <v/>
      </c>
      <c r="H130" t="str">
        <f t="shared" si="7"/>
        <v>No</v>
      </c>
      <c r="I130" t="str">
        <f t="shared" si="8"/>
        <v>Canon Printer</v>
      </c>
      <c r="J130" t="str">
        <f t="shared" si="9"/>
        <v>Unique</v>
      </c>
    </row>
    <row r="131" spans="1:10" x14ac:dyDescent="0.4">
      <c r="A131" s="2" t="s">
        <v>3316</v>
      </c>
      <c r="B131" s="2" t="s">
        <v>1171</v>
      </c>
      <c r="C131" s="2" t="s">
        <v>3187</v>
      </c>
      <c r="D131" s="2">
        <v>4999</v>
      </c>
      <c r="E131" s="2" t="s">
        <v>3185</v>
      </c>
      <c r="F131">
        <f t="shared" ref="F131:F194" si="10">IF(D131="",MEDIAN($D$2:$D$501),D131)</f>
        <v>4999</v>
      </c>
      <c r="G131" t="str">
        <f t="shared" ref="G131:G194" si="11">PROPER(E131)</f>
        <v>Yes</v>
      </c>
      <c r="H131" t="str">
        <f t="shared" ref="H131:H194" si="12">IF(ISBLANK(D131),"Missing Price","No")</f>
        <v>No</v>
      </c>
      <c r="I131" t="str">
        <f t="shared" ref="I131:I194" si="13">PROPER(B131)</f>
        <v>Asus Mouse</v>
      </c>
      <c r="J131" t="str">
        <f t="shared" ref="J131:J194" si="14">IF(COUNTIF($A$2:$A$501,A131)&gt;1,"Duplicate","Unique")</f>
        <v>Unique</v>
      </c>
    </row>
    <row r="132" spans="1:10" x14ac:dyDescent="0.4">
      <c r="A132" s="2" t="s">
        <v>3317</v>
      </c>
      <c r="B132" s="2" t="s">
        <v>1171</v>
      </c>
      <c r="C132" s="2" t="s">
        <v>3181</v>
      </c>
      <c r="D132" s="2"/>
      <c r="E132" s="2" t="s">
        <v>3185</v>
      </c>
      <c r="F132">
        <f t="shared" si="10"/>
        <v>12999</v>
      </c>
      <c r="G132" t="str">
        <f t="shared" si="11"/>
        <v>Yes</v>
      </c>
      <c r="H132" t="str">
        <f t="shared" si="12"/>
        <v>Missing Price</v>
      </c>
      <c r="I132" t="str">
        <f t="shared" si="13"/>
        <v>Asus Mouse</v>
      </c>
      <c r="J132" t="str">
        <f t="shared" si="14"/>
        <v>Unique</v>
      </c>
    </row>
    <row r="133" spans="1:10" x14ac:dyDescent="0.4">
      <c r="A133" s="2" t="s">
        <v>3318</v>
      </c>
      <c r="B133" s="2" t="s">
        <v>1173</v>
      </c>
      <c r="C133" s="2" t="s">
        <v>3184</v>
      </c>
      <c r="D133" s="2">
        <v>19999</v>
      </c>
      <c r="E133" s="2"/>
      <c r="F133">
        <f t="shared" si="10"/>
        <v>19999</v>
      </c>
      <c r="G133" t="str">
        <f t="shared" si="11"/>
        <v/>
      </c>
      <c r="H133" t="str">
        <f t="shared" si="12"/>
        <v>No</v>
      </c>
      <c r="I133" t="str">
        <f t="shared" si="13"/>
        <v>Dell Monitor</v>
      </c>
      <c r="J133" t="str">
        <f t="shared" si="14"/>
        <v>Unique</v>
      </c>
    </row>
    <row r="134" spans="1:10" x14ac:dyDescent="0.4">
      <c r="A134" s="2" t="s">
        <v>3319</v>
      </c>
      <c r="B134" s="2" t="s">
        <v>1182</v>
      </c>
      <c r="C134" s="2" t="s">
        <v>3181</v>
      </c>
      <c r="D134" s="2">
        <v>4999</v>
      </c>
      <c r="E134" s="2" t="s">
        <v>3198</v>
      </c>
      <c r="F134">
        <f t="shared" si="10"/>
        <v>4999</v>
      </c>
      <c r="G134" t="str">
        <f t="shared" si="11"/>
        <v>Yes</v>
      </c>
      <c r="H134" t="str">
        <f t="shared" si="12"/>
        <v>No</v>
      </c>
      <c r="I134" t="str">
        <f t="shared" si="13"/>
        <v>Lenovo Keyboard</v>
      </c>
      <c r="J134" t="str">
        <f t="shared" si="14"/>
        <v>Unique</v>
      </c>
    </row>
    <row r="135" spans="1:10" x14ac:dyDescent="0.4">
      <c r="A135" s="2" t="s">
        <v>3320</v>
      </c>
      <c r="B135" s="2" t="s">
        <v>1175</v>
      </c>
      <c r="C135" s="2" t="s">
        <v>3189</v>
      </c>
      <c r="D135" s="2">
        <v>19999</v>
      </c>
      <c r="E135" s="2" t="s">
        <v>3198</v>
      </c>
      <c r="F135">
        <f t="shared" si="10"/>
        <v>19999</v>
      </c>
      <c r="G135" t="str">
        <f t="shared" si="11"/>
        <v>Yes</v>
      </c>
      <c r="H135" t="str">
        <f t="shared" si="12"/>
        <v>No</v>
      </c>
      <c r="I135" t="str">
        <f t="shared" si="13"/>
        <v>Hp Laptop</v>
      </c>
      <c r="J135" t="str">
        <f t="shared" si="14"/>
        <v>Unique</v>
      </c>
    </row>
    <row r="136" spans="1:10" x14ac:dyDescent="0.4">
      <c r="A136" s="2" t="s">
        <v>3321</v>
      </c>
      <c r="B136" s="2" t="s">
        <v>1171</v>
      </c>
      <c r="C136" s="2" t="s">
        <v>3184</v>
      </c>
      <c r="D136" s="2">
        <v>7999</v>
      </c>
      <c r="E136" s="2"/>
      <c r="F136">
        <f t="shared" si="10"/>
        <v>7999</v>
      </c>
      <c r="G136" t="str">
        <f t="shared" si="11"/>
        <v/>
      </c>
      <c r="H136" t="str">
        <f t="shared" si="12"/>
        <v>No</v>
      </c>
      <c r="I136" t="str">
        <f t="shared" si="13"/>
        <v>Asus Mouse</v>
      </c>
      <c r="J136" t="str">
        <f t="shared" si="14"/>
        <v>Unique</v>
      </c>
    </row>
    <row r="137" spans="1:10" x14ac:dyDescent="0.4">
      <c r="A137" s="2" t="s">
        <v>3322</v>
      </c>
      <c r="B137" s="2" t="s">
        <v>1180</v>
      </c>
      <c r="C137" s="2" t="s">
        <v>3181</v>
      </c>
      <c r="D137" s="2">
        <v>7999</v>
      </c>
      <c r="E137" s="2" t="s">
        <v>3185</v>
      </c>
      <c r="F137">
        <f t="shared" si="10"/>
        <v>7999</v>
      </c>
      <c r="G137" t="str">
        <f t="shared" si="11"/>
        <v>Yes</v>
      </c>
      <c r="H137" t="str">
        <f t="shared" si="12"/>
        <v>No</v>
      </c>
      <c r="I137" t="str">
        <f t="shared" si="13"/>
        <v>Canon Printer</v>
      </c>
      <c r="J137" t="str">
        <f t="shared" si="14"/>
        <v>Unique</v>
      </c>
    </row>
    <row r="138" spans="1:10" x14ac:dyDescent="0.4">
      <c r="A138" s="2" t="s">
        <v>3323</v>
      </c>
      <c r="B138" s="2" t="s">
        <v>1173</v>
      </c>
      <c r="C138" s="2" t="s">
        <v>3189</v>
      </c>
      <c r="D138" s="2"/>
      <c r="E138" s="2"/>
      <c r="F138">
        <f t="shared" si="10"/>
        <v>12999</v>
      </c>
      <c r="G138" t="str">
        <f t="shared" si="11"/>
        <v/>
      </c>
      <c r="H138" t="str">
        <f t="shared" si="12"/>
        <v>Missing Price</v>
      </c>
      <c r="I138" t="str">
        <f t="shared" si="13"/>
        <v>Dell Monitor</v>
      </c>
      <c r="J138" t="str">
        <f t="shared" si="14"/>
        <v>Unique</v>
      </c>
    </row>
    <row r="139" spans="1:10" x14ac:dyDescent="0.4">
      <c r="A139" s="2" t="s">
        <v>3324</v>
      </c>
      <c r="B139" s="2" t="s">
        <v>1187</v>
      </c>
      <c r="C139" s="2" t="s">
        <v>3189</v>
      </c>
      <c r="D139" s="2">
        <v>7999</v>
      </c>
      <c r="E139" s="2"/>
      <c r="F139">
        <f t="shared" si="10"/>
        <v>7999</v>
      </c>
      <c r="G139" t="str">
        <f t="shared" si="11"/>
        <v/>
      </c>
      <c r="H139" t="str">
        <f t="shared" si="12"/>
        <v>No</v>
      </c>
      <c r="I139" t="str">
        <f t="shared" si="13"/>
        <v>Apple Ipad</v>
      </c>
      <c r="J139" t="str">
        <f t="shared" si="14"/>
        <v>Unique</v>
      </c>
    </row>
    <row r="140" spans="1:10" x14ac:dyDescent="0.4">
      <c r="A140" s="2" t="s">
        <v>3325</v>
      </c>
      <c r="B140" s="2" t="s">
        <v>1187</v>
      </c>
      <c r="C140" s="2"/>
      <c r="D140" s="2">
        <v>7999</v>
      </c>
      <c r="E140" s="2"/>
      <c r="F140">
        <f t="shared" si="10"/>
        <v>7999</v>
      </c>
      <c r="G140" t="str">
        <f t="shared" si="11"/>
        <v/>
      </c>
      <c r="H140" t="str">
        <f t="shared" si="12"/>
        <v>No</v>
      </c>
      <c r="I140" t="str">
        <f t="shared" si="13"/>
        <v>Apple Ipad</v>
      </c>
      <c r="J140" t="str">
        <f t="shared" si="14"/>
        <v>Unique</v>
      </c>
    </row>
    <row r="141" spans="1:10" x14ac:dyDescent="0.4">
      <c r="A141" s="2" t="s">
        <v>3326</v>
      </c>
      <c r="B141" s="2" t="s">
        <v>1180</v>
      </c>
      <c r="C141" s="2" t="s">
        <v>3187</v>
      </c>
      <c r="D141" s="2">
        <v>15999</v>
      </c>
      <c r="E141" s="2"/>
      <c r="F141">
        <f t="shared" si="10"/>
        <v>15999</v>
      </c>
      <c r="G141" t="str">
        <f t="shared" si="11"/>
        <v/>
      </c>
      <c r="H141" t="str">
        <f t="shared" si="12"/>
        <v>No</v>
      </c>
      <c r="I141" t="str">
        <f t="shared" si="13"/>
        <v>Canon Printer</v>
      </c>
      <c r="J141" t="str">
        <f t="shared" si="14"/>
        <v>Unique</v>
      </c>
    </row>
    <row r="142" spans="1:10" x14ac:dyDescent="0.4">
      <c r="A142" s="2" t="s">
        <v>3327</v>
      </c>
      <c r="B142" s="2" t="s">
        <v>1180</v>
      </c>
      <c r="C142" s="2" t="s">
        <v>3189</v>
      </c>
      <c r="D142" s="2">
        <v>15999</v>
      </c>
      <c r="E142" s="2" t="s">
        <v>3198</v>
      </c>
      <c r="F142">
        <f t="shared" si="10"/>
        <v>15999</v>
      </c>
      <c r="G142" t="str">
        <f t="shared" si="11"/>
        <v>Yes</v>
      </c>
      <c r="H142" t="str">
        <f t="shared" si="12"/>
        <v>No</v>
      </c>
      <c r="I142" t="str">
        <f t="shared" si="13"/>
        <v>Canon Printer</v>
      </c>
      <c r="J142" t="str">
        <f t="shared" si="14"/>
        <v>Unique</v>
      </c>
    </row>
    <row r="143" spans="1:10" x14ac:dyDescent="0.4">
      <c r="A143" s="2" t="s">
        <v>3328</v>
      </c>
      <c r="B143" s="2" t="s">
        <v>1182</v>
      </c>
      <c r="C143" s="2"/>
      <c r="D143" s="2">
        <v>7999</v>
      </c>
      <c r="E143" s="2"/>
      <c r="F143">
        <f t="shared" si="10"/>
        <v>7999</v>
      </c>
      <c r="G143" t="str">
        <f t="shared" si="11"/>
        <v/>
      </c>
      <c r="H143" t="str">
        <f t="shared" si="12"/>
        <v>No</v>
      </c>
      <c r="I143" t="str">
        <f t="shared" si="13"/>
        <v>Lenovo Keyboard</v>
      </c>
      <c r="J143" t="str">
        <f t="shared" si="14"/>
        <v>Unique</v>
      </c>
    </row>
    <row r="144" spans="1:10" x14ac:dyDescent="0.4">
      <c r="A144" s="2" t="s">
        <v>3329</v>
      </c>
      <c r="B144" s="2" t="s">
        <v>1182</v>
      </c>
      <c r="C144" s="2" t="s">
        <v>3181</v>
      </c>
      <c r="D144" s="2"/>
      <c r="E144" s="2" t="s">
        <v>3185</v>
      </c>
      <c r="F144">
        <f t="shared" si="10"/>
        <v>12999</v>
      </c>
      <c r="G144" t="str">
        <f t="shared" si="11"/>
        <v>Yes</v>
      </c>
      <c r="H144" t="str">
        <f t="shared" si="12"/>
        <v>Missing Price</v>
      </c>
      <c r="I144" t="str">
        <f t="shared" si="13"/>
        <v>Lenovo Keyboard</v>
      </c>
      <c r="J144" t="str">
        <f t="shared" si="14"/>
        <v>Unique</v>
      </c>
    </row>
    <row r="145" spans="1:10" x14ac:dyDescent="0.4">
      <c r="A145" s="2" t="s">
        <v>3330</v>
      </c>
      <c r="B145" s="2" t="s">
        <v>1180</v>
      </c>
      <c r="C145" s="2" t="s">
        <v>3181</v>
      </c>
      <c r="D145" s="2"/>
      <c r="E145" s="2" t="s">
        <v>3185</v>
      </c>
      <c r="F145">
        <f t="shared" si="10"/>
        <v>12999</v>
      </c>
      <c r="G145" t="str">
        <f t="shared" si="11"/>
        <v>Yes</v>
      </c>
      <c r="H145" t="str">
        <f t="shared" si="12"/>
        <v>Missing Price</v>
      </c>
      <c r="I145" t="str">
        <f t="shared" si="13"/>
        <v>Canon Printer</v>
      </c>
      <c r="J145" t="str">
        <f t="shared" si="14"/>
        <v>Unique</v>
      </c>
    </row>
    <row r="146" spans="1:10" x14ac:dyDescent="0.4">
      <c r="A146" s="2" t="s">
        <v>3331</v>
      </c>
      <c r="B146" s="2" t="s">
        <v>1180</v>
      </c>
      <c r="C146" s="2"/>
      <c r="D146" s="2">
        <v>19999</v>
      </c>
      <c r="E146" s="2" t="s">
        <v>3182</v>
      </c>
      <c r="F146">
        <f t="shared" si="10"/>
        <v>19999</v>
      </c>
      <c r="G146" t="str">
        <f t="shared" si="11"/>
        <v>No</v>
      </c>
      <c r="H146" t="str">
        <f t="shared" si="12"/>
        <v>No</v>
      </c>
      <c r="I146" t="str">
        <f t="shared" si="13"/>
        <v>Canon Printer</v>
      </c>
      <c r="J146" t="str">
        <f t="shared" si="14"/>
        <v>Unique</v>
      </c>
    </row>
    <row r="147" spans="1:10" x14ac:dyDescent="0.4">
      <c r="A147" s="2" t="s">
        <v>3332</v>
      </c>
      <c r="B147" s="2" t="s">
        <v>1187</v>
      </c>
      <c r="C147" s="2" t="s">
        <v>3181</v>
      </c>
      <c r="D147" s="2">
        <v>7999</v>
      </c>
      <c r="E147" s="2" t="s">
        <v>3182</v>
      </c>
      <c r="F147">
        <f t="shared" si="10"/>
        <v>7999</v>
      </c>
      <c r="G147" t="str">
        <f t="shared" si="11"/>
        <v>No</v>
      </c>
      <c r="H147" t="str">
        <f t="shared" si="12"/>
        <v>No</v>
      </c>
      <c r="I147" t="str">
        <f t="shared" si="13"/>
        <v>Apple Ipad</v>
      </c>
      <c r="J147" t="str">
        <f t="shared" si="14"/>
        <v>Unique</v>
      </c>
    </row>
    <row r="148" spans="1:10" x14ac:dyDescent="0.4">
      <c r="A148" s="2" t="s">
        <v>3333</v>
      </c>
      <c r="B148" s="2" t="s">
        <v>1182</v>
      </c>
      <c r="C148" s="2" t="s">
        <v>3189</v>
      </c>
      <c r="D148" s="2">
        <v>7999</v>
      </c>
      <c r="E148" s="2"/>
      <c r="F148">
        <f t="shared" si="10"/>
        <v>7999</v>
      </c>
      <c r="G148" t="str">
        <f t="shared" si="11"/>
        <v/>
      </c>
      <c r="H148" t="str">
        <f t="shared" si="12"/>
        <v>No</v>
      </c>
      <c r="I148" t="str">
        <f t="shared" si="13"/>
        <v>Lenovo Keyboard</v>
      </c>
      <c r="J148" t="str">
        <f t="shared" si="14"/>
        <v>Unique</v>
      </c>
    </row>
    <row r="149" spans="1:10" x14ac:dyDescent="0.4">
      <c r="A149" s="2" t="s">
        <v>3334</v>
      </c>
      <c r="B149" s="2" t="s">
        <v>1171</v>
      </c>
      <c r="C149" s="2" t="s">
        <v>3181</v>
      </c>
      <c r="D149" s="2">
        <v>12999</v>
      </c>
      <c r="E149" s="2" t="s">
        <v>3182</v>
      </c>
      <c r="F149">
        <f t="shared" si="10"/>
        <v>12999</v>
      </c>
      <c r="G149" t="str">
        <f t="shared" si="11"/>
        <v>No</v>
      </c>
      <c r="H149" t="str">
        <f t="shared" si="12"/>
        <v>No</v>
      </c>
      <c r="I149" t="str">
        <f t="shared" si="13"/>
        <v>Asus Mouse</v>
      </c>
      <c r="J149" t="str">
        <f t="shared" si="14"/>
        <v>Unique</v>
      </c>
    </row>
    <row r="150" spans="1:10" x14ac:dyDescent="0.4">
      <c r="A150" s="2" t="s">
        <v>3335</v>
      </c>
      <c r="B150" s="2" t="s">
        <v>1173</v>
      </c>
      <c r="C150" s="2" t="s">
        <v>3189</v>
      </c>
      <c r="D150" s="2">
        <v>19999</v>
      </c>
      <c r="E150" s="2"/>
      <c r="F150">
        <f t="shared" si="10"/>
        <v>19999</v>
      </c>
      <c r="G150" t="str">
        <f t="shared" si="11"/>
        <v/>
      </c>
      <c r="H150" t="str">
        <f t="shared" si="12"/>
        <v>No</v>
      </c>
      <c r="I150" t="str">
        <f t="shared" si="13"/>
        <v>Dell Monitor</v>
      </c>
      <c r="J150" t="str">
        <f t="shared" si="14"/>
        <v>Unique</v>
      </c>
    </row>
    <row r="151" spans="1:10" x14ac:dyDescent="0.4">
      <c r="A151" s="2" t="s">
        <v>3336</v>
      </c>
      <c r="B151" s="2" t="s">
        <v>1175</v>
      </c>
      <c r="C151" s="2" t="s">
        <v>3187</v>
      </c>
      <c r="D151" s="2">
        <v>15999</v>
      </c>
      <c r="E151" s="2" t="s">
        <v>3198</v>
      </c>
      <c r="F151">
        <f t="shared" si="10"/>
        <v>15999</v>
      </c>
      <c r="G151" t="str">
        <f t="shared" si="11"/>
        <v>Yes</v>
      </c>
      <c r="H151" t="str">
        <f t="shared" si="12"/>
        <v>No</v>
      </c>
      <c r="I151" t="str">
        <f t="shared" si="13"/>
        <v>Hp Laptop</v>
      </c>
      <c r="J151" t="str">
        <f t="shared" si="14"/>
        <v>Unique</v>
      </c>
    </row>
    <row r="152" spans="1:10" x14ac:dyDescent="0.4">
      <c r="A152" s="2" t="s">
        <v>3337</v>
      </c>
      <c r="B152" s="2" t="s">
        <v>1173</v>
      </c>
      <c r="C152" s="2" t="s">
        <v>3181</v>
      </c>
      <c r="D152" s="2">
        <v>15999</v>
      </c>
      <c r="E152" s="2" t="s">
        <v>3198</v>
      </c>
      <c r="F152">
        <f t="shared" si="10"/>
        <v>15999</v>
      </c>
      <c r="G152" t="str">
        <f t="shared" si="11"/>
        <v>Yes</v>
      </c>
      <c r="H152" t="str">
        <f t="shared" si="12"/>
        <v>No</v>
      </c>
      <c r="I152" t="str">
        <f t="shared" si="13"/>
        <v>Dell Monitor</v>
      </c>
      <c r="J152" t="str">
        <f t="shared" si="14"/>
        <v>Unique</v>
      </c>
    </row>
    <row r="153" spans="1:10" x14ac:dyDescent="0.4">
      <c r="A153" s="2" t="s">
        <v>3338</v>
      </c>
      <c r="B153" s="2" t="s">
        <v>1173</v>
      </c>
      <c r="C153" s="2" t="s">
        <v>3187</v>
      </c>
      <c r="D153" s="2"/>
      <c r="E153" s="2" t="s">
        <v>3198</v>
      </c>
      <c r="F153">
        <f t="shared" si="10"/>
        <v>12999</v>
      </c>
      <c r="G153" t="str">
        <f t="shared" si="11"/>
        <v>Yes</v>
      </c>
      <c r="H153" t="str">
        <f t="shared" si="12"/>
        <v>Missing Price</v>
      </c>
      <c r="I153" t="str">
        <f t="shared" si="13"/>
        <v>Dell Monitor</v>
      </c>
      <c r="J153" t="str">
        <f t="shared" si="14"/>
        <v>Unique</v>
      </c>
    </row>
    <row r="154" spans="1:10" x14ac:dyDescent="0.4">
      <c r="A154" s="2" t="s">
        <v>3339</v>
      </c>
      <c r="B154" s="2" t="s">
        <v>1182</v>
      </c>
      <c r="C154" s="2"/>
      <c r="D154" s="2">
        <v>4999</v>
      </c>
      <c r="E154" s="2" t="s">
        <v>3198</v>
      </c>
      <c r="F154">
        <f t="shared" si="10"/>
        <v>4999</v>
      </c>
      <c r="G154" t="str">
        <f t="shared" si="11"/>
        <v>Yes</v>
      </c>
      <c r="H154" t="str">
        <f t="shared" si="12"/>
        <v>No</v>
      </c>
      <c r="I154" t="str">
        <f t="shared" si="13"/>
        <v>Lenovo Keyboard</v>
      </c>
      <c r="J154" t="str">
        <f t="shared" si="14"/>
        <v>Unique</v>
      </c>
    </row>
    <row r="155" spans="1:10" x14ac:dyDescent="0.4">
      <c r="A155" s="2" t="s">
        <v>3340</v>
      </c>
      <c r="B155" s="2" t="s">
        <v>1175</v>
      </c>
      <c r="C155" s="2" t="s">
        <v>3181</v>
      </c>
      <c r="D155" s="2">
        <v>4999</v>
      </c>
      <c r="E155" s="2" t="s">
        <v>3185</v>
      </c>
      <c r="F155">
        <f t="shared" si="10"/>
        <v>4999</v>
      </c>
      <c r="G155" t="str">
        <f t="shared" si="11"/>
        <v>Yes</v>
      </c>
      <c r="H155" t="str">
        <f t="shared" si="12"/>
        <v>No</v>
      </c>
      <c r="I155" t="str">
        <f t="shared" si="13"/>
        <v>Hp Laptop</v>
      </c>
      <c r="J155" t="str">
        <f t="shared" si="14"/>
        <v>Unique</v>
      </c>
    </row>
    <row r="156" spans="1:10" x14ac:dyDescent="0.4">
      <c r="A156" s="2" t="s">
        <v>3341</v>
      </c>
      <c r="B156" s="2" t="s">
        <v>1180</v>
      </c>
      <c r="C156" s="2" t="s">
        <v>3187</v>
      </c>
      <c r="D156" s="2">
        <v>7999</v>
      </c>
      <c r="E156" s="2" t="s">
        <v>3198</v>
      </c>
      <c r="F156">
        <f t="shared" si="10"/>
        <v>7999</v>
      </c>
      <c r="G156" t="str">
        <f t="shared" si="11"/>
        <v>Yes</v>
      </c>
      <c r="H156" t="str">
        <f t="shared" si="12"/>
        <v>No</v>
      </c>
      <c r="I156" t="str">
        <f t="shared" si="13"/>
        <v>Canon Printer</v>
      </c>
      <c r="J156" t="str">
        <f t="shared" si="14"/>
        <v>Unique</v>
      </c>
    </row>
    <row r="157" spans="1:10" x14ac:dyDescent="0.4">
      <c r="A157" s="2" t="s">
        <v>3342</v>
      </c>
      <c r="B157" s="2" t="s">
        <v>1171</v>
      </c>
      <c r="C157" s="2" t="s">
        <v>3184</v>
      </c>
      <c r="D157" s="2">
        <v>7999</v>
      </c>
      <c r="E157" s="2" t="s">
        <v>3198</v>
      </c>
      <c r="F157">
        <f t="shared" si="10"/>
        <v>7999</v>
      </c>
      <c r="G157" t="str">
        <f t="shared" si="11"/>
        <v>Yes</v>
      </c>
      <c r="H157" t="str">
        <f t="shared" si="12"/>
        <v>No</v>
      </c>
      <c r="I157" t="str">
        <f t="shared" si="13"/>
        <v>Asus Mouse</v>
      </c>
      <c r="J157" t="str">
        <f t="shared" si="14"/>
        <v>Unique</v>
      </c>
    </row>
    <row r="158" spans="1:10" x14ac:dyDescent="0.4">
      <c r="A158" s="2" t="s">
        <v>3343</v>
      </c>
      <c r="B158" s="2" t="s">
        <v>1187</v>
      </c>
      <c r="C158" s="2" t="s">
        <v>3184</v>
      </c>
      <c r="D158" s="2">
        <v>19999</v>
      </c>
      <c r="E158" s="2" t="s">
        <v>3185</v>
      </c>
      <c r="F158">
        <f t="shared" si="10"/>
        <v>19999</v>
      </c>
      <c r="G158" t="str">
        <f t="shared" si="11"/>
        <v>Yes</v>
      </c>
      <c r="H158" t="str">
        <f t="shared" si="12"/>
        <v>No</v>
      </c>
      <c r="I158" t="str">
        <f t="shared" si="13"/>
        <v>Apple Ipad</v>
      </c>
      <c r="J158" t="str">
        <f t="shared" si="14"/>
        <v>Unique</v>
      </c>
    </row>
    <row r="159" spans="1:10" x14ac:dyDescent="0.4">
      <c r="A159" s="2" t="s">
        <v>3344</v>
      </c>
      <c r="B159" s="2" t="s">
        <v>1171</v>
      </c>
      <c r="C159" s="2" t="s">
        <v>3181</v>
      </c>
      <c r="D159" s="2">
        <v>12999</v>
      </c>
      <c r="E159" s="2"/>
      <c r="F159">
        <f t="shared" si="10"/>
        <v>12999</v>
      </c>
      <c r="G159" t="str">
        <f t="shared" si="11"/>
        <v/>
      </c>
      <c r="H159" t="str">
        <f t="shared" si="12"/>
        <v>No</v>
      </c>
      <c r="I159" t="str">
        <f t="shared" si="13"/>
        <v>Asus Mouse</v>
      </c>
      <c r="J159" t="str">
        <f t="shared" si="14"/>
        <v>Unique</v>
      </c>
    </row>
    <row r="160" spans="1:10" x14ac:dyDescent="0.4">
      <c r="A160" s="2" t="s">
        <v>3345</v>
      </c>
      <c r="B160" s="2" t="s">
        <v>1182</v>
      </c>
      <c r="C160" s="2" t="s">
        <v>3187</v>
      </c>
      <c r="D160" s="2">
        <v>12999</v>
      </c>
      <c r="E160" s="2" t="s">
        <v>3182</v>
      </c>
      <c r="F160">
        <f t="shared" si="10"/>
        <v>12999</v>
      </c>
      <c r="G160" t="str">
        <f t="shared" si="11"/>
        <v>No</v>
      </c>
      <c r="H160" t="str">
        <f t="shared" si="12"/>
        <v>No</v>
      </c>
      <c r="I160" t="str">
        <f t="shared" si="13"/>
        <v>Lenovo Keyboard</v>
      </c>
      <c r="J160" t="str">
        <f t="shared" si="14"/>
        <v>Unique</v>
      </c>
    </row>
    <row r="161" spans="1:10" x14ac:dyDescent="0.4">
      <c r="A161" s="2" t="s">
        <v>3346</v>
      </c>
      <c r="B161" s="2" t="s">
        <v>1180</v>
      </c>
      <c r="C161" s="2" t="s">
        <v>3189</v>
      </c>
      <c r="D161" s="2"/>
      <c r="E161" s="2"/>
      <c r="F161">
        <f t="shared" si="10"/>
        <v>12999</v>
      </c>
      <c r="G161" t="str">
        <f t="shared" si="11"/>
        <v/>
      </c>
      <c r="H161" t="str">
        <f t="shared" si="12"/>
        <v>Missing Price</v>
      </c>
      <c r="I161" t="str">
        <f t="shared" si="13"/>
        <v>Canon Printer</v>
      </c>
      <c r="J161" t="str">
        <f t="shared" si="14"/>
        <v>Unique</v>
      </c>
    </row>
    <row r="162" spans="1:10" x14ac:dyDescent="0.4">
      <c r="A162" s="2" t="s">
        <v>3347</v>
      </c>
      <c r="B162" s="2" t="s">
        <v>1187</v>
      </c>
      <c r="C162" s="2"/>
      <c r="D162" s="2">
        <v>19999</v>
      </c>
      <c r="E162" s="2"/>
      <c r="F162">
        <f t="shared" si="10"/>
        <v>19999</v>
      </c>
      <c r="G162" t="str">
        <f t="shared" si="11"/>
        <v/>
      </c>
      <c r="H162" t="str">
        <f t="shared" si="12"/>
        <v>No</v>
      </c>
      <c r="I162" t="str">
        <f t="shared" si="13"/>
        <v>Apple Ipad</v>
      </c>
      <c r="J162" t="str">
        <f t="shared" si="14"/>
        <v>Unique</v>
      </c>
    </row>
    <row r="163" spans="1:10" x14ac:dyDescent="0.4">
      <c r="A163" s="2" t="s">
        <v>3348</v>
      </c>
      <c r="B163" s="2" t="s">
        <v>1171</v>
      </c>
      <c r="C163" s="2" t="s">
        <v>3181</v>
      </c>
      <c r="D163" s="2">
        <v>4999</v>
      </c>
      <c r="E163" s="2" t="s">
        <v>3182</v>
      </c>
      <c r="F163">
        <f t="shared" si="10"/>
        <v>4999</v>
      </c>
      <c r="G163" t="str">
        <f t="shared" si="11"/>
        <v>No</v>
      </c>
      <c r="H163" t="str">
        <f t="shared" si="12"/>
        <v>No</v>
      </c>
      <c r="I163" t="str">
        <f t="shared" si="13"/>
        <v>Asus Mouse</v>
      </c>
      <c r="J163" t="str">
        <f t="shared" si="14"/>
        <v>Unique</v>
      </c>
    </row>
    <row r="164" spans="1:10" x14ac:dyDescent="0.4">
      <c r="A164" s="2" t="s">
        <v>3349</v>
      </c>
      <c r="B164" s="2" t="s">
        <v>1173</v>
      </c>
      <c r="C164" s="2" t="s">
        <v>3189</v>
      </c>
      <c r="D164" s="2">
        <v>12999</v>
      </c>
      <c r="E164" s="2" t="s">
        <v>3198</v>
      </c>
      <c r="F164">
        <f t="shared" si="10"/>
        <v>12999</v>
      </c>
      <c r="G164" t="str">
        <f t="shared" si="11"/>
        <v>Yes</v>
      </c>
      <c r="H164" t="str">
        <f t="shared" si="12"/>
        <v>No</v>
      </c>
      <c r="I164" t="str">
        <f t="shared" si="13"/>
        <v>Dell Monitor</v>
      </c>
      <c r="J164" t="str">
        <f t="shared" si="14"/>
        <v>Unique</v>
      </c>
    </row>
    <row r="165" spans="1:10" x14ac:dyDescent="0.4">
      <c r="A165" s="2" t="s">
        <v>3350</v>
      </c>
      <c r="B165" s="2" t="s">
        <v>1182</v>
      </c>
      <c r="C165" s="2" t="s">
        <v>3189</v>
      </c>
      <c r="D165" s="2">
        <v>4999</v>
      </c>
      <c r="E165" s="2" t="s">
        <v>3198</v>
      </c>
      <c r="F165">
        <f t="shared" si="10"/>
        <v>4999</v>
      </c>
      <c r="G165" t="str">
        <f t="shared" si="11"/>
        <v>Yes</v>
      </c>
      <c r="H165" t="str">
        <f t="shared" si="12"/>
        <v>No</v>
      </c>
      <c r="I165" t="str">
        <f t="shared" si="13"/>
        <v>Lenovo Keyboard</v>
      </c>
      <c r="J165" t="str">
        <f t="shared" si="14"/>
        <v>Unique</v>
      </c>
    </row>
    <row r="166" spans="1:10" x14ac:dyDescent="0.4">
      <c r="A166" s="2" t="s">
        <v>3351</v>
      </c>
      <c r="B166" s="2" t="s">
        <v>1175</v>
      </c>
      <c r="C166" s="2" t="s">
        <v>3181</v>
      </c>
      <c r="D166" s="2">
        <v>19999</v>
      </c>
      <c r="E166" s="2" t="s">
        <v>3198</v>
      </c>
      <c r="F166">
        <f t="shared" si="10"/>
        <v>19999</v>
      </c>
      <c r="G166" t="str">
        <f t="shared" si="11"/>
        <v>Yes</v>
      </c>
      <c r="H166" t="str">
        <f t="shared" si="12"/>
        <v>No</v>
      </c>
      <c r="I166" t="str">
        <f t="shared" si="13"/>
        <v>Hp Laptop</v>
      </c>
      <c r="J166" t="str">
        <f t="shared" si="14"/>
        <v>Unique</v>
      </c>
    </row>
    <row r="167" spans="1:10" x14ac:dyDescent="0.4">
      <c r="A167" s="2" t="s">
        <v>3352</v>
      </c>
      <c r="B167" s="2" t="s">
        <v>1173</v>
      </c>
      <c r="C167" s="2" t="s">
        <v>3181</v>
      </c>
      <c r="D167" s="2">
        <v>12999</v>
      </c>
      <c r="E167" s="2" t="s">
        <v>3198</v>
      </c>
      <c r="F167">
        <f t="shared" si="10"/>
        <v>12999</v>
      </c>
      <c r="G167" t="str">
        <f t="shared" si="11"/>
        <v>Yes</v>
      </c>
      <c r="H167" t="str">
        <f t="shared" si="12"/>
        <v>No</v>
      </c>
      <c r="I167" t="str">
        <f t="shared" si="13"/>
        <v>Dell Monitor</v>
      </c>
      <c r="J167" t="str">
        <f t="shared" si="14"/>
        <v>Unique</v>
      </c>
    </row>
    <row r="168" spans="1:10" x14ac:dyDescent="0.4">
      <c r="A168" s="2" t="s">
        <v>3353</v>
      </c>
      <c r="B168" s="2" t="s">
        <v>1175</v>
      </c>
      <c r="C168" s="2" t="s">
        <v>3187</v>
      </c>
      <c r="D168" s="2">
        <v>15999</v>
      </c>
      <c r="E168" s="2" t="s">
        <v>3182</v>
      </c>
      <c r="F168">
        <f t="shared" si="10"/>
        <v>15999</v>
      </c>
      <c r="G168" t="str">
        <f t="shared" si="11"/>
        <v>No</v>
      </c>
      <c r="H168" t="str">
        <f t="shared" si="12"/>
        <v>No</v>
      </c>
      <c r="I168" t="str">
        <f t="shared" si="13"/>
        <v>Hp Laptop</v>
      </c>
      <c r="J168" t="str">
        <f t="shared" si="14"/>
        <v>Unique</v>
      </c>
    </row>
    <row r="169" spans="1:10" x14ac:dyDescent="0.4">
      <c r="A169" s="2" t="s">
        <v>3354</v>
      </c>
      <c r="B169" s="2" t="s">
        <v>1187</v>
      </c>
      <c r="C169" s="2" t="s">
        <v>3181</v>
      </c>
      <c r="D169" s="2">
        <v>7999</v>
      </c>
      <c r="E169" s="2" t="s">
        <v>3198</v>
      </c>
      <c r="F169">
        <f t="shared" si="10"/>
        <v>7999</v>
      </c>
      <c r="G169" t="str">
        <f t="shared" si="11"/>
        <v>Yes</v>
      </c>
      <c r="H169" t="str">
        <f t="shared" si="12"/>
        <v>No</v>
      </c>
      <c r="I169" t="str">
        <f t="shared" si="13"/>
        <v>Apple Ipad</v>
      </c>
      <c r="J169" t="str">
        <f t="shared" si="14"/>
        <v>Unique</v>
      </c>
    </row>
    <row r="170" spans="1:10" x14ac:dyDescent="0.4">
      <c r="A170" s="2" t="s">
        <v>3355</v>
      </c>
      <c r="B170" s="2" t="s">
        <v>1175</v>
      </c>
      <c r="C170" s="2" t="s">
        <v>3184</v>
      </c>
      <c r="D170" s="2">
        <v>12999</v>
      </c>
      <c r="E170" s="2" t="s">
        <v>3198</v>
      </c>
      <c r="F170">
        <f t="shared" si="10"/>
        <v>12999</v>
      </c>
      <c r="G170" t="str">
        <f t="shared" si="11"/>
        <v>Yes</v>
      </c>
      <c r="H170" t="str">
        <f t="shared" si="12"/>
        <v>No</v>
      </c>
      <c r="I170" t="str">
        <f t="shared" si="13"/>
        <v>Hp Laptop</v>
      </c>
      <c r="J170" t="str">
        <f t="shared" si="14"/>
        <v>Unique</v>
      </c>
    </row>
    <row r="171" spans="1:10" x14ac:dyDescent="0.4">
      <c r="A171" s="2" t="s">
        <v>3356</v>
      </c>
      <c r="B171" s="2" t="s">
        <v>1173</v>
      </c>
      <c r="C171" s="2" t="s">
        <v>3181</v>
      </c>
      <c r="D171" s="2">
        <v>12999</v>
      </c>
      <c r="E171" s="2" t="s">
        <v>3198</v>
      </c>
      <c r="F171">
        <f t="shared" si="10"/>
        <v>12999</v>
      </c>
      <c r="G171" t="str">
        <f t="shared" si="11"/>
        <v>Yes</v>
      </c>
      <c r="H171" t="str">
        <f t="shared" si="12"/>
        <v>No</v>
      </c>
      <c r="I171" t="str">
        <f t="shared" si="13"/>
        <v>Dell Monitor</v>
      </c>
      <c r="J171" t="str">
        <f t="shared" si="14"/>
        <v>Unique</v>
      </c>
    </row>
    <row r="172" spans="1:10" x14ac:dyDescent="0.4">
      <c r="A172" s="2" t="s">
        <v>3357</v>
      </c>
      <c r="B172" s="2" t="s">
        <v>1175</v>
      </c>
      <c r="C172" s="2"/>
      <c r="D172" s="2">
        <v>19999</v>
      </c>
      <c r="E172" s="2" t="s">
        <v>3182</v>
      </c>
      <c r="F172">
        <f t="shared" si="10"/>
        <v>19999</v>
      </c>
      <c r="G172" t="str">
        <f t="shared" si="11"/>
        <v>No</v>
      </c>
      <c r="H172" t="str">
        <f t="shared" si="12"/>
        <v>No</v>
      </c>
      <c r="I172" t="str">
        <f t="shared" si="13"/>
        <v>Hp Laptop</v>
      </c>
      <c r="J172" t="str">
        <f t="shared" si="14"/>
        <v>Unique</v>
      </c>
    </row>
    <row r="173" spans="1:10" x14ac:dyDescent="0.4">
      <c r="A173" s="2" t="s">
        <v>3358</v>
      </c>
      <c r="B173" s="2" t="s">
        <v>1182</v>
      </c>
      <c r="C173" s="2" t="s">
        <v>3189</v>
      </c>
      <c r="D173" s="2"/>
      <c r="E173" s="2" t="s">
        <v>3185</v>
      </c>
      <c r="F173">
        <f t="shared" si="10"/>
        <v>12999</v>
      </c>
      <c r="G173" t="str">
        <f t="shared" si="11"/>
        <v>Yes</v>
      </c>
      <c r="H173" t="str">
        <f t="shared" si="12"/>
        <v>Missing Price</v>
      </c>
      <c r="I173" t="str">
        <f t="shared" si="13"/>
        <v>Lenovo Keyboard</v>
      </c>
      <c r="J173" t="str">
        <f t="shared" si="14"/>
        <v>Unique</v>
      </c>
    </row>
    <row r="174" spans="1:10" x14ac:dyDescent="0.4">
      <c r="A174" s="2" t="s">
        <v>3359</v>
      </c>
      <c r="B174" s="2" t="s">
        <v>1182</v>
      </c>
      <c r="C174" s="2"/>
      <c r="D174" s="2">
        <v>15999</v>
      </c>
      <c r="E174" s="2" t="s">
        <v>3182</v>
      </c>
      <c r="F174">
        <f t="shared" si="10"/>
        <v>15999</v>
      </c>
      <c r="G174" t="str">
        <f t="shared" si="11"/>
        <v>No</v>
      </c>
      <c r="H174" t="str">
        <f t="shared" si="12"/>
        <v>No</v>
      </c>
      <c r="I174" t="str">
        <f t="shared" si="13"/>
        <v>Lenovo Keyboard</v>
      </c>
      <c r="J174" t="str">
        <f t="shared" si="14"/>
        <v>Unique</v>
      </c>
    </row>
    <row r="175" spans="1:10" x14ac:dyDescent="0.4">
      <c r="A175" s="2" t="s">
        <v>3360</v>
      </c>
      <c r="B175" s="2" t="s">
        <v>1173</v>
      </c>
      <c r="C175" s="2"/>
      <c r="D175" s="2">
        <v>7999</v>
      </c>
      <c r="E175" s="2" t="s">
        <v>3198</v>
      </c>
      <c r="F175">
        <f t="shared" si="10"/>
        <v>7999</v>
      </c>
      <c r="G175" t="str">
        <f t="shared" si="11"/>
        <v>Yes</v>
      </c>
      <c r="H175" t="str">
        <f t="shared" si="12"/>
        <v>No</v>
      </c>
      <c r="I175" t="str">
        <f t="shared" si="13"/>
        <v>Dell Monitor</v>
      </c>
      <c r="J175" t="str">
        <f t="shared" si="14"/>
        <v>Unique</v>
      </c>
    </row>
    <row r="176" spans="1:10" x14ac:dyDescent="0.4">
      <c r="A176" s="2" t="s">
        <v>3361</v>
      </c>
      <c r="B176" s="2" t="s">
        <v>1180</v>
      </c>
      <c r="C176" s="2"/>
      <c r="D176" s="2">
        <v>15999</v>
      </c>
      <c r="E176" s="2" t="s">
        <v>3182</v>
      </c>
      <c r="F176">
        <f t="shared" si="10"/>
        <v>15999</v>
      </c>
      <c r="G176" t="str">
        <f t="shared" si="11"/>
        <v>No</v>
      </c>
      <c r="H176" t="str">
        <f t="shared" si="12"/>
        <v>No</v>
      </c>
      <c r="I176" t="str">
        <f t="shared" si="13"/>
        <v>Canon Printer</v>
      </c>
      <c r="J176" t="str">
        <f t="shared" si="14"/>
        <v>Unique</v>
      </c>
    </row>
    <row r="177" spans="1:10" x14ac:dyDescent="0.4">
      <c r="A177" s="2" t="s">
        <v>3362</v>
      </c>
      <c r="B177" s="2" t="s">
        <v>1171</v>
      </c>
      <c r="C177" s="2" t="s">
        <v>3181</v>
      </c>
      <c r="D177" s="2">
        <v>19999</v>
      </c>
      <c r="E177" s="2"/>
      <c r="F177">
        <f t="shared" si="10"/>
        <v>19999</v>
      </c>
      <c r="G177" t="str">
        <f t="shared" si="11"/>
        <v/>
      </c>
      <c r="H177" t="str">
        <f t="shared" si="12"/>
        <v>No</v>
      </c>
      <c r="I177" t="str">
        <f t="shared" si="13"/>
        <v>Asus Mouse</v>
      </c>
      <c r="J177" t="str">
        <f t="shared" si="14"/>
        <v>Unique</v>
      </c>
    </row>
    <row r="178" spans="1:10" x14ac:dyDescent="0.4">
      <c r="A178" s="2" t="s">
        <v>3363</v>
      </c>
      <c r="B178" s="2" t="s">
        <v>1180</v>
      </c>
      <c r="C178" s="2" t="s">
        <v>3184</v>
      </c>
      <c r="D178" s="2">
        <v>19999</v>
      </c>
      <c r="E178" s="2"/>
      <c r="F178">
        <f t="shared" si="10"/>
        <v>19999</v>
      </c>
      <c r="G178" t="str">
        <f t="shared" si="11"/>
        <v/>
      </c>
      <c r="H178" t="str">
        <f t="shared" si="12"/>
        <v>No</v>
      </c>
      <c r="I178" t="str">
        <f t="shared" si="13"/>
        <v>Canon Printer</v>
      </c>
      <c r="J178" t="str">
        <f t="shared" si="14"/>
        <v>Unique</v>
      </c>
    </row>
    <row r="179" spans="1:10" x14ac:dyDescent="0.4">
      <c r="A179" s="2" t="s">
        <v>3364</v>
      </c>
      <c r="B179" s="2" t="s">
        <v>1175</v>
      </c>
      <c r="C179" s="2" t="s">
        <v>3181</v>
      </c>
      <c r="D179" s="2">
        <v>7999</v>
      </c>
      <c r="E179" s="2" t="s">
        <v>3185</v>
      </c>
      <c r="F179">
        <f t="shared" si="10"/>
        <v>7999</v>
      </c>
      <c r="G179" t="str">
        <f t="shared" si="11"/>
        <v>Yes</v>
      </c>
      <c r="H179" t="str">
        <f t="shared" si="12"/>
        <v>No</v>
      </c>
      <c r="I179" t="str">
        <f t="shared" si="13"/>
        <v>Hp Laptop</v>
      </c>
      <c r="J179" t="str">
        <f t="shared" si="14"/>
        <v>Unique</v>
      </c>
    </row>
    <row r="180" spans="1:10" x14ac:dyDescent="0.4">
      <c r="A180" s="2" t="s">
        <v>3365</v>
      </c>
      <c r="B180" s="2" t="s">
        <v>1173</v>
      </c>
      <c r="C180" s="2"/>
      <c r="D180" s="2">
        <v>15999</v>
      </c>
      <c r="E180" s="2" t="s">
        <v>3198</v>
      </c>
      <c r="F180">
        <f t="shared" si="10"/>
        <v>15999</v>
      </c>
      <c r="G180" t="str">
        <f t="shared" si="11"/>
        <v>Yes</v>
      </c>
      <c r="H180" t="str">
        <f t="shared" si="12"/>
        <v>No</v>
      </c>
      <c r="I180" t="str">
        <f t="shared" si="13"/>
        <v>Dell Monitor</v>
      </c>
      <c r="J180" t="str">
        <f t="shared" si="14"/>
        <v>Unique</v>
      </c>
    </row>
    <row r="181" spans="1:10" x14ac:dyDescent="0.4">
      <c r="A181" s="2" t="s">
        <v>3366</v>
      </c>
      <c r="B181" s="2" t="s">
        <v>1175</v>
      </c>
      <c r="C181" s="2" t="s">
        <v>3181</v>
      </c>
      <c r="D181" s="2">
        <v>15999</v>
      </c>
      <c r="E181" s="2" t="s">
        <v>3185</v>
      </c>
      <c r="F181">
        <f t="shared" si="10"/>
        <v>15999</v>
      </c>
      <c r="G181" t="str">
        <f t="shared" si="11"/>
        <v>Yes</v>
      </c>
      <c r="H181" t="str">
        <f t="shared" si="12"/>
        <v>No</v>
      </c>
      <c r="I181" t="str">
        <f t="shared" si="13"/>
        <v>Hp Laptop</v>
      </c>
      <c r="J181" t="str">
        <f t="shared" si="14"/>
        <v>Unique</v>
      </c>
    </row>
    <row r="182" spans="1:10" x14ac:dyDescent="0.4">
      <c r="A182" s="2" t="s">
        <v>3367</v>
      </c>
      <c r="B182" s="2" t="s">
        <v>1173</v>
      </c>
      <c r="C182" s="2" t="s">
        <v>3181</v>
      </c>
      <c r="D182" s="2"/>
      <c r="E182" s="2"/>
      <c r="F182">
        <f t="shared" si="10"/>
        <v>12999</v>
      </c>
      <c r="G182" t="str">
        <f t="shared" si="11"/>
        <v/>
      </c>
      <c r="H182" t="str">
        <f t="shared" si="12"/>
        <v>Missing Price</v>
      </c>
      <c r="I182" t="str">
        <f t="shared" si="13"/>
        <v>Dell Monitor</v>
      </c>
      <c r="J182" t="str">
        <f t="shared" si="14"/>
        <v>Unique</v>
      </c>
    </row>
    <row r="183" spans="1:10" x14ac:dyDescent="0.4">
      <c r="A183" s="2" t="s">
        <v>3368</v>
      </c>
      <c r="B183" s="2" t="s">
        <v>1175</v>
      </c>
      <c r="C183" s="2" t="s">
        <v>3187</v>
      </c>
      <c r="D183" s="2">
        <v>4999</v>
      </c>
      <c r="E183" s="2" t="s">
        <v>3185</v>
      </c>
      <c r="F183">
        <f t="shared" si="10"/>
        <v>4999</v>
      </c>
      <c r="G183" t="str">
        <f t="shared" si="11"/>
        <v>Yes</v>
      </c>
      <c r="H183" t="str">
        <f t="shared" si="12"/>
        <v>No</v>
      </c>
      <c r="I183" t="str">
        <f t="shared" si="13"/>
        <v>Hp Laptop</v>
      </c>
      <c r="J183" t="str">
        <f t="shared" si="14"/>
        <v>Unique</v>
      </c>
    </row>
    <row r="184" spans="1:10" x14ac:dyDescent="0.4">
      <c r="A184" s="2" t="s">
        <v>3369</v>
      </c>
      <c r="B184" s="2" t="s">
        <v>1171</v>
      </c>
      <c r="C184" s="2" t="s">
        <v>3189</v>
      </c>
      <c r="D184" s="2">
        <v>15999</v>
      </c>
      <c r="E184" s="2"/>
      <c r="F184">
        <f t="shared" si="10"/>
        <v>15999</v>
      </c>
      <c r="G184" t="str">
        <f t="shared" si="11"/>
        <v/>
      </c>
      <c r="H184" t="str">
        <f t="shared" si="12"/>
        <v>No</v>
      </c>
      <c r="I184" t="str">
        <f t="shared" si="13"/>
        <v>Asus Mouse</v>
      </c>
      <c r="J184" t="str">
        <f t="shared" si="14"/>
        <v>Unique</v>
      </c>
    </row>
    <row r="185" spans="1:10" x14ac:dyDescent="0.4">
      <c r="A185" s="2" t="s">
        <v>3370</v>
      </c>
      <c r="B185" s="2" t="s">
        <v>1173</v>
      </c>
      <c r="C185" s="2" t="s">
        <v>3181</v>
      </c>
      <c r="D185" s="2">
        <v>19999</v>
      </c>
      <c r="E185" s="2"/>
      <c r="F185">
        <f t="shared" si="10"/>
        <v>19999</v>
      </c>
      <c r="G185" t="str">
        <f t="shared" si="11"/>
        <v/>
      </c>
      <c r="H185" t="str">
        <f t="shared" si="12"/>
        <v>No</v>
      </c>
      <c r="I185" t="str">
        <f t="shared" si="13"/>
        <v>Dell Monitor</v>
      </c>
      <c r="J185" t="str">
        <f t="shared" si="14"/>
        <v>Unique</v>
      </c>
    </row>
    <row r="186" spans="1:10" x14ac:dyDescent="0.4">
      <c r="A186" s="2" t="s">
        <v>3371</v>
      </c>
      <c r="B186" s="2" t="s">
        <v>1182</v>
      </c>
      <c r="C186" s="2" t="s">
        <v>3187</v>
      </c>
      <c r="D186" s="2">
        <v>7999</v>
      </c>
      <c r="E186" s="2" t="s">
        <v>3182</v>
      </c>
      <c r="F186">
        <f t="shared" si="10"/>
        <v>7999</v>
      </c>
      <c r="G186" t="str">
        <f t="shared" si="11"/>
        <v>No</v>
      </c>
      <c r="H186" t="str">
        <f t="shared" si="12"/>
        <v>No</v>
      </c>
      <c r="I186" t="str">
        <f t="shared" si="13"/>
        <v>Lenovo Keyboard</v>
      </c>
      <c r="J186" t="str">
        <f t="shared" si="14"/>
        <v>Unique</v>
      </c>
    </row>
    <row r="187" spans="1:10" x14ac:dyDescent="0.4">
      <c r="A187" s="2" t="s">
        <v>3372</v>
      </c>
      <c r="B187" s="2" t="s">
        <v>1171</v>
      </c>
      <c r="C187" s="2" t="s">
        <v>3189</v>
      </c>
      <c r="D187" s="2">
        <v>7999</v>
      </c>
      <c r="E187" s="2" t="s">
        <v>3198</v>
      </c>
      <c r="F187">
        <f t="shared" si="10"/>
        <v>7999</v>
      </c>
      <c r="G187" t="str">
        <f t="shared" si="11"/>
        <v>Yes</v>
      </c>
      <c r="H187" t="str">
        <f t="shared" si="12"/>
        <v>No</v>
      </c>
      <c r="I187" t="str">
        <f t="shared" si="13"/>
        <v>Asus Mouse</v>
      </c>
      <c r="J187" t="str">
        <f t="shared" si="14"/>
        <v>Unique</v>
      </c>
    </row>
    <row r="188" spans="1:10" x14ac:dyDescent="0.4">
      <c r="A188" s="2" t="s">
        <v>3373</v>
      </c>
      <c r="B188" s="2" t="s">
        <v>1182</v>
      </c>
      <c r="C188" s="2"/>
      <c r="D188" s="2"/>
      <c r="E188" s="2"/>
      <c r="F188">
        <f t="shared" si="10"/>
        <v>12999</v>
      </c>
      <c r="G188" t="str">
        <f t="shared" si="11"/>
        <v/>
      </c>
      <c r="H188" t="str">
        <f t="shared" si="12"/>
        <v>Missing Price</v>
      </c>
      <c r="I188" t="str">
        <f t="shared" si="13"/>
        <v>Lenovo Keyboard</v>
      </c>
      <c r="J188" t="str">
        <f t="shared" si="14"/>
        <v>Unique</v>
      </c>
    </row>
    <row r="189" spans="1:10" x14ac:dyDescent="0.4">
      <c r="A189" s="2" t="s">
        <v>3374</v>
      </c>
      <c r="B189" s="2" t="s">
        <v>1171</v>
      </c>
      <c r="C189" s="2" t="s">
        <v>3181</v>
      </c>
      <c r="D189" s="2">
        <v>4999</v>
      </c>
      <c r="E189" s="2" t="s">
        <v>3198</v>
      </c>
      <c r="F189">
        <f t="shared" si="10"/>
        <v>4999</v>
      </c>
      <c r="G189" t="str">
        <f t="shared" si="11"/>
        <v>Yes</v>
      </c>
      <c r="H189" t="str">
        <f t="shared" si="12"/>
        <v>No</v>
      </c>
      <c r="I189" t="str">
        <f t="shared" si="13"/>
        <v>Asus Mouse</v>
      </c>
      <c r="J189" t="str">
        <f t="shared" si="14"/>
        <v>Unique</v>
      </c>
    </row>
    <row r="190" spans="1:10" x14ac:dyDescent="0.4">
      <c r="A190" s="2" t="s">
        <v>3375</v>
      </c>
      <c r="B190" s="2" t="s">
        <v>1182</v>
      </c>
      <c r="C190" s="2" t="s">
        <v>3187</v>
      </c>
      <c r="D190" s="2">
        <v>7999</v>
      </c>
      <c r="E190" s="2" t="s">
        <v>3185</v>
      </c>
      <c r="F190">
        <f t="shared" si="10"/>
        <v>7999</v>
      </c>
      <c r="G190" t="str">
        <f t="shared" si="11"/>
        <v>Yes</v>
      </c>
      <c r="H190" t="str">
        <f t="shared" si="12"/>
        <v>No</v>
      </c>
      <c r="I190" t="str">
        <f t="shared" si="13"/>
        <v>Lenovo Keyboard</v>
      </c>
      <c r="J190" t="str">
        <f t="shared" si="14"/>
        <v>Unique</v>
      </c>
    </row>
    <row r="191" spans="1:10" x14ac:dyDescent="0.4">
      <c r="A191" s="2" t="s">
        <v>3376</v>
      </c>
      <c r="B191" s="2" t="s">
        <v>1171</v>
      </c>
      <c r="C191" s="2" t="s">
        <v>3181</v>
      </c>
      <c r="D191" s="2"/>
      <c r="E191" s="2" t="s">
        <v>3185</v>
      </c>
      <c r="F191">
        <f t="shared" si="10"/>
        <v>12999</v>
      </c>
      <c r="G191" t="str">
        <f t="shared" si="11"/>
        <v>Yes</v>
      </c>
      <c r="H191" t="str">
        <f t="shared" si="12"/>
        <v>Missing Price</v>
      </c>
      <c r="I191" t="str">
        <f t="shared" si="13"/>
        <v>Asus Mouse</v>
      </c>
      <c r="J191" t="str">
        <f t="shared" si="14"/>
        <v>Unique</v>
      </c>
    </row>
    <row r="192" spans="1:10" x14ac:dyDescent="0.4">
      <c r="A192" s="2" t="s">
        <v>3377</v>
      </c>
      <c r="B192" s="2" t="s">
        <v>1180</v>
      </c>
      <c r="C192" s="2" t="s">
        <v>3184</v>
      </c>
      <c r="D192" s="2">
        <v>7999</v>
      </c>
      <c r="E192" s="2"/>
      <c r="F192">
        <f t="shared" si="10"/>
        <v>7999</v>
      </c>
      <c r="G192" t="str">
        <f t="shared" si="11"/>
        <v/>
      </c>
      <c r="H192" t="str">
        <f t="shared" si="12"/>
        <v>No</v>
      </c>
      <c r="I192" t="str">
        <f t="shared" si="13"/>
        <v>Canon Printer</v>
      </c>
      <c r="J192" t="str">
        <f t="shared" si="14"/>
        <v>Unique</v>
      </c>
    </row>
    <row r="193" spans="1:10" x14ac:dyDescent="0.4">
      <c r="A193" s="2" t="s">
        <v>3378</v>
      </c>
      <c r="B193" s="2" t="s">
        <v>1175</v>
      </c>
      <c r="C193" s="2"/>
      <c r="D193" s="2">
        <v>12999</v>
      </c>
      <c r="E193" s="2" t="s">
        <v>3198</v>
      </c>
      <c r="F193">
        <f t="shared" si="10"/>
        <v>12999</v>
      </c>
      <c r="G193" t="str">
        <f t="shared" si="11"/>
        <v>Yes</v>
      </c>
      <c r="H193" t="str">
        <f t="shared" si="12"/>
        <v>No</v>
      </c>
      <c r="I193" t="str">
        <f t="shared" si="13"/>
        <v>Hp Laptop</v>
      </c>
      <c r="J193" t="str">
        <f t="shared" si="14"/>
        <v>Unique</v>
      </c>
    </row>
    <row r="194" spans="1:10" x14ac:dyDescent="0.4">
      <c r="A194" s="2" t="s">
        <v>3379</v>
      </c>
      <c r="B194" s="2" t="s">
        <v>1182</v>
      </c>
      <c r="C194" s="2" t="s">
        <v>3181</v>
      </c>
      <c r="D194" s="2">
        <v>19999</v>
      </c>
      <c r="E194" s="2"/>
      <c r="F194">
        <f t="shared" si="10"/>
        <v>19999</v>
      </c>
      <c r="G194" t="str">
        <f t="shared" si="11"/>
        <v/>
      </c>
      <c r="H194" t="str">
        <f t="shared" si="12"/>
        <v>No</v>
      </c>
      <c r="I194" t="str">
        <f t="shared" si="13"/>
        <v>Lenovo Keyboard</v>
      </c>
      <c r="J194" t="str">
        <f t="shared" si="14"/>
        <v>Unique</v>
      </c>
    </row>
    <row r="195" spans="1:10" x14ac:dyDescent="0.4">
      <c r="A195" s="2" t="s">
        <v>3380</v>
      </c>
      <c r="B195" s="2" t="s">
        <v>1175</v>
      </c>
      <c r="C195" s="2" t="s">
        <v>3181</v>
      </c>
      <c r="D195" s="2">
        <v>15999</v>
      </c>
      <c r="E195" s="2"/>
      <c r="F195">
        <f t="shared" ref="F195:F258" si="15">IF(D195="",MEDIAN($D$2:$D$501),D195)</f>
        <v>15999</v>
      </c>
      <c r="G195" t="str">
        <f t="shared" ref="G195:G258" si="16">PROPER(E195)</f>
        <v/>
      </c>
      <c r="H195" t="str">
        <f t="shared" ref="H195:H258" si="17">IF(ISBLANK(D195),"Missing Price","No")</f>
        <v>No</v>
      </c>
      <c r="I195" t="str">
        <f t="shared" ref="I195:I258" si="18">PROPER(B195)</f>
        <v>Hp Laptop</v>
      </c>
      <c r="J195" t="str">
        <f t="shared" ref="J195:J258" si="19">IF(COUNTIF($A$2:$A$501,A195)&gt;1,"Duplicate","Unique")</f>
        <v>Unique</v>
      </c>
    </row>
    <row r="196" spans="1:10" x14ac:dyDescent="0.4">
      <c r="A196" s="2" t="s">
        <v>3381</v>
      </c>
      <c r="B196" s="2" t="s">
        <v>1173</v>
      </c>
      <c r="C196" s="2" t="s">
        <v>3184</v>
      </c>
      <c r="D196" s="2">
        <v>4999</v>
      </c>
      <c r="E196" s="2" t="s">
        <v>3182</v>
      </c>
      <c r="F196">
        <f t="shared" si="15"/>
        <v>4999</v>
      </c>
      <c r="G196" t="str">
        <f t="shared" si="16"/>
        <v>No</v>
      </c>
      <c r="H196" t="str">
        <f t="shared" si="17"/>
        <v>No</v>
      </c>
      <c r="I196" t="str">
        <f t="shared" si="18"/>
        <v>Dell Monitor</v>
      </c>
      <c r="J196" t="str">
        <f t="shared" si="19"/>
        <v>Unique</v>
      </c>
    </row>
    <row r="197" spans="1:10" x14ac:dyDescent="0.4">
      <c r="A197" s="2" t="s">
        <v>3382</v>
      </c>
      <c r="B197" s="2" t="s">
        <v>1175</v>
      </c>
      <c r="C197" s="2"/>
      <c r="D197" s="2">
        <v>15999</v>
      </c>
      <c r="E197" s="2" t="s">
        <v>3185</v>
      </c>
      <c r="F197">
        <f t="shared" si="15"/>
        <v>15999</v>
      </c>
      <c r="G197" t="str">
        <f t="shared" si="16"/>
        <v>Yes</v>
      </c>
      <c r="H197" t="str">
        <f t="shared" si="17"/>
        <v>No</v>
      </c>
      <c r="I197" t="str">
        <f t="shared" si="18"/>
        <v>Hp Laptop</v>
      </c>
      <c r="J197" t="str">
        <f t="shared" si="19"/>
        <v>Unique</v>
      </c>
    </row>
    <row r="198" spans="1:10" x14ac:dyDescent="0.4">
      <c r="A198" s="2" t="s">
        <v>3383</v>
      </c>
      <c r="B198" s="2" t="s">
        <v>1182</v>
      </c>
      <c r="C198" s="2" t="s">
        <v>3187</v>
      </c>
      <c r="D198" s="2">
        <v>15999</v>
      </c>
      <c r="E198" s="2" t="s">
        <v>3198</v>
      </c>
      <c r="F198">
        <f t="shared" si="15"/>
        <v>15999</v>
      </c>
      <c r="G198" t="str">
        <f t="shared" si="16"/>
        <v>Yes</v>
      </c>
      <c r="H198" t="str">
        <f t="shared" si="17"/>
        <v>No</v>
      </c>
      <c r="I198" t="str">
        <f t="shared" si="18"/>
        <v>Lenovo Keyboard</v>
      </c>
      <c r="J198" t="str">
        <f t="shared" si="19"/>
        <v>Unique</v>
      </c>
    </row>
    <row r="199" spans="1:10" x14ac:dyDescent="0.4">
      <c r="A199" s="2" t="s">
        <v>3384</v>
      </c>
      <c r="B199" s="2" t="s">
        <v>1171</v>
      </c>
      <c r="C199" s="2"/>
      <c r="D199" s="2">
        <v>12999</v>
      </c>
      <c r="E199" s="2" t="s">
        <v>3185</v>
      </c>
      <c r="F199">
        <f t="shared" si="15"/>
        <v>12999</v>
      </c>
      <c r="G199" t="str">
        <f t="shared" si="16"/>
        <v>Yes</v>
      </c>
      <c r="H199" t="str">
        <f t="shared" si="17"/>
        <v>No</v>
      </c>
      <c r="I199" t="str">
        <f t="shared" si="18"/>
        <v>Asus Mouse</v>
      </c>
      <c r="J199" t="str">
        <f t="shared" si="19"/>
        <v>Unique</v>
      </c>
    </row>
    <row r="200" spans="1:10" x14ac:dyDescent="0.4">
      <c r="A200" s="2" t="s">
        <v>3385</v>
      </c>
      <c r="B200" s="2" t="s">
        <v>1175</v>
      </c>
      <c r="C200" s="2"/>
      <c r="D200" s="2">
        <v>4999</v>
      </c>
      <c r="E200" s="2" t="s">
        <v>3182</v>
      </c>
      <c r="F200">
        <f t="shared" si="15"/>
        <v>4999</v>
      </c>
      <c r="G200" t="str">
        <f t="shared" si="16"/>
        <v>No</v>
      </c>
      <c r="H200" t="str">
        <f t="shared" si="17"/>
        <v>No</v>
      </c>
      <c r="I200" t="str">
        <f t="shared" si="18"/>
        <v>Hp Laptop</v>
      </c>
      <c r="J200" t="str">
        <f t="shared" si="19"/>
        <v>Unique</v>
      </c>
    </row>
    <row r="201" spans="1:10" x14ac:dyDescent="0.4">
      <c r="A201" s="2" t="s">
        <v>3386</v>
      </c>
      <c r="B201" s="2" t="s">
        <v>1187</v>
      </c>
      <c r="C201" s="2" t="s">
        <v>3187</v>
      </c>
      <c r="D201" s="2">
        <v>15999</v>
      </c>
      <c r="E201" s="2" t="s">
        <v>3185</v>
      </c>
      <c r="F201">
        <f t="shared" si="15"/>
        <v>15999</v>
      </c>
      <c r="G201" t="str">
        <f t="shared" si="16"/>
        <v>Yes</v>
      </c>
      <c r="H201" t="str">
        <f t="shared" si="17"/>
        <v>No</v>
      </c>
      <c r="I201" t="str">
        <f t="shared" si="18"/>
        <v>Apple Ipad</v>
      </c>
      <c r="J201" t="str">
        <f t="shared" si="19"/>
        <v>Unique</v>
      </c>
    </row>
    <row r="202" spans="1:10" x14ac:dyDescent="0.4">
      <c r="A202" s="2" t="s">
        <v>3387</v>
      </c>
      <c r="B202" s="2" t="s">
        <v>1171</v>
      </c>
      <c r="C202" s="2" t="s">
        <v>3181</v>
      </c>
      <c r="D202" s="2"/>
      <c r="E202" s="2" t="s">
        <v>3182</v>
      </c>
      <c r="F202">
        <f t="shared" si="15"/>
        <v>12999</v>
      </c>
      <c r="G202" t="str">
        <f t="shared" si="16"/>
        <v>No</v>
      </c>
      <c r="H202" t="str">
        <f t="shared" si="17"/>
        <v>Missing Price</v>
      </c>
      <c r="I202" t="str">
        <f t="shared" si="18"/>
        <v>Asus Mouse</v>
      </c>
      <c r="J202" t="str">
        <f t="shared" si="19"/>
        <v>Unique</v>
      </c>
    </row>
    <row r="203" spans="1:10" x14ac:dyDescent="0.4">
      <c r="A203" s="2" t="s">
        <v>3388</v>
      </c>
      <c r="B203" s="2" t="s">
        <v>1173</v>
      </c>
      <c r="C203" s="2" t="s">
        <v>3181</v>
      </c>
      <c r="D203" s="2">
        <v>7999</v>
      </c>
      <c r="E203" s="2" t="s">
        <v>3185</v>
      </c>
      <c r="F203">
        <f t="shared" si="15"/>
        <v>7999</v>
      </c>
      <c r="G203" t="str">
        <f t="shared" si="16"/>
        <v>Yes</v>
      </c>
      <c r="H203" t="str">
        <f t="shared" si="17"/>
        <v>No</v>
      </c>
      <c r="I203" t="str">
        <f t="shared" si="18"/>
        <v>Dell Monitor</v>
      </c>
      <c r="J203" t="str">
        <f t="shared" si="19"/>
        <v>Unique</v>
      </c>
    </row>
    <row r="204" spans="1:10" x14ac:dyDescent="0.4">
      <c r="A204" s="2" t="s">
        <v>3389</v>
      </c>
      <c r="B204" s="2" t="s">
        <v>1173</v>
      </c>
      <c r="C204" s="2" t="s">
        <v>3187</v>
      </c>
      <c r="D204" s="2">
        <v>19999</v>
      </c>
      <c r="E204" s="2" t="s">
        <v>3198</v>
      </c>
      <c r="F204">
        <f t="shared" si="15"/>
        <v>19999</v>
      </c>
      <c r="G204" t="str">
        <f t="shared" si="16"/>
        <v>Yes</v>
      </c>
      <c r="H204" t="str">
        <f t="shared" si="17"/>
        <v>No</v>
      </c>
      <c r="I204" t="str">
        <f t="shared" si="18"/>
        <v>Dell Monitor</v>
      </c>
      <c r="J204" t="str">
        <f t="shared" si="19"/>
        <v>Unique</v>
      </c>
    </row>
    <row r="205" spans="1:10" x14ac:dyDescent="0.4">
      <c r="A205" s="2" t="s">
        <v>3390</v>
      </c>
      <c r="B205" s="2" t="s">
        <v>1182</v>
      </c>
      <c r="C205" s="2"/>
      <c r="D205" s="2">
        <v>7999</v>
      </c>
      <c r="E205" s="2" t="s">
        <v>3182</v>
      </c>
      <c r="F205">
        <f t="shared" si="15"/>
        <v>7999</v>
      </c>
      <c r="G205" t="str">
        <f t="shared" si="16"/>
        <v>No</v>
      </c>
      <c r="H205" t="str">
        <f t="shared" si="17"/>
        <v>No</v>
      </c>
      <c r="I205" t="str">
        <f t="shared" si="18"/>
        <v>Lenovo Keyboard</v>
      </c>
      <c r="J205" t="str">
        <f t="shared" si="19"/>
        <v>Unique</v>
      </c>
    </row>
    <row r="206" spans="1:10" x14ac:dyDescent="0.4">
      <c r="A206" s="2" t="s">
        <v>3391</v>
      </c>
      <c r="B206" s="2" t="s">
        <v>1171</v>
      </c>
      <c r="C206" s="2" t="s">
        <v>3184</v>
      </c>
      <c r="D206" s="2">
        <v>19999</v>
      </c>
      <c r="E206" s="2" t="s">
        <v>3185</v>
      </c>
      <c r="F206">
        <f t="shared" si="15"/>
        <v>19999</v>
      </c>
      <c r="G206" t="str">
        <f t="shared" si="16"/>
        <v>Yes</v>
      </c>
      <c r="H206" t="str">
        <f t="shared" si="17"/>
        <v>No</v>
      </c>
      <c r="I206" t="str">
        <f t="shared" si="18"/>
        <v>Asus Mouse</v>
      </c>
      <c r="J206" t="str">
        <f t="shared" si="19"/>
        <v>Unique</v>
      </c>
    </row>
    <row r="207" spans="1:10" x14ac:dyDescent="0.4">
      <c r="A207" s="2" t="s">
        <v>3392</v>
      </c>
      <c r="B207" s="2" t="s">
        <v>1175</v>
      </c>
      <c r="C207" s="2" t="s">
        <v>3189</v>
      </c>
      <c r="D207" s="2"/>
      <c r="E207" s="2" t="s">
        <v>3182</v>
      </c>
      <c r="F207">
        <f t="shared" si="15"/>
        <v>12999</v>
      </c>
      <c r="G207" t="str">
        <f t="shared" si="16"/>
        <v>No</v>
      </c>
      <c r="H207" t="str">
        <f t="shared" si="17"/>
        <v>Missing Price</v>
      </c>
      <c r="I207" t="str">
        <f t="shared" si="18"/>
        <v>Hp Laptop</v>
      </c>
      <c r="J207" t="str">
        <f t="shared" si="19"/>
        <v>Unique</v>
      </c>
    </row>
    <row r="208" spans="1:10" x14ac:dyDescent="0.4">
      <c r="A208" s="2" t="s">
        <v>3393</v>
      </c>
      <c r="B208" s="2" t="s">
        <v>1175</v>
      </c>
      <c r="C208" s="2" t="s">
        <v>3184</v>
      </c>
      <c r="D208" s="2">
        <v>7999</v>
      </c>
      <c r="E208" s="2" t="s">
        <v>3198</v>
      </c>
      <c r="F208">
        <f t="shared" si="15"/>
        <v>7999</v>
      </c>
      <c r="G208" t="str">
        <f t="shared" si="16"/>
        <v>Yes</v>
      </c>
      <c r="H208" t="str">
        <f t="shared" si="17"/>
        <v>No</v>
      </c>
      <c r="I208" t="str">
        <f t="shared" si="18"/>
        <v>Hp Laptop</v>
      </c>
      <c r="J208" t="str">
        <f t="shared" si="19"/>
        <v>Unique</v>
      </c>
    </row>
    <row r="209" spans="1:10" x14ac:dyDescent="0.4">
      <c r="A209" s="2" t="s">
        <v>3394</v>
      </c>
      <c r="B209" s="2" t="s">
        <v>1180</v>
      </c>
      <c r="C209" s="2" t="s">
        <v>3181</v>
      </c>
      <c r="D209" s="2">
        <v>12999</v>
      </c>
      <c r="E209" s="2" t="s">
        <v>3185</v>
      </c>
      <c r="F209">
        <f t="shared" si="15"/>
        <v>12999</v>
      </c>
      <c r="G209" t="str">
        <f t="shared" si="16"/>
        <v>Yes</v>
      </c>
      <c r="H209" t="str">
        <f t="shared" si="17"/>
        <v>No</v>
      </c>
      <c r="I209" t="str">
        <f t="shared" si="18"/>
        <v>Canon Printer</v>
      </c>
      <c r="J209" t="str">
        <f t="shared" si="19"/>
        <v>Unique</v>
      </c>
    </row>
    <row r="210" spans="1:10" x14ac:dyDescent="0.4">
      <c r="A210" s="2" t="s">
        <v>3395</v>
      </c>
      <c r="B210" s="2" t="s">
        <v>1173</v>
      </c>
      <c r="C210" s="2"/>
      <c r="D210" s="2"/>
      <c r="E210" s="2"/>
      <c r="F210">
        <f t="shared" si="15"/>
        <v>12999</v>
      </c>
      <c r="G210" t="str">
        <f t="shared" si="16"/>
        <v/>
      </c>
      <c r="H210" t="str">
        <f t="shared" si="17"/>
        <v>Missing Price</v>
      </c>
      <c r="I210" t="str">
        <f t="shared" si="18"/>
        <v>Dell Monitor</v>
      </c>
      <c r="J210" t="str">
        <f t="shared" si="19"/>
        <v>Unique</v>
      </c>
    </row>
    <row r="211" spans="1:10" x14ac:dyDescent="0.4">
      <c r="A211" s="2" t="s">
        <v>3396</v>
      </c>
      <c r="B211" s="2" t="s">
        <v>1171</v>
      </c>
      <c r="C211" s="2" t="s">
        <v>3181</v>
      </c>
      <c r="D211" s="2">
        <v>12999</v>
      </c>
      <c r="E211" s="2" t="s">
        <v>3198</v>
      </c>
      <c r="F211">
        <f t="shared" si="15"/>
        <v>12999</v>
      </c>
      <c r="G211" t="str">
        <f t="shared" si="16"/>
        <v>Yes</v>
      </c>
      <c r="H211" t="str">
        <f t="shared" si="17"/>
        <v>No</v>
      </c>
      <c r="I211" t="str">
        <f t="shared" si="18"/>
        <v>Asus Mouse</v>
      </c>
      <c r="J211" t="str">
        <f t="shared" si="19"/>
        <v>Unique</v>
      </c>
    </row>
    <row r="212" spans="1:10" x14ac:dyDescent="0.4">
      <c r="A212" s="2" t="s">
        <v>3397</v>
      </c>
      <c r="B212" s="2" t="s">
        <v>1171</v>
      </c>
      <c r="C212" s="2" t="s">
        <v>3187</v>
      </c>
      <c r="D212" s="2">
        <v>4999</v>
      </c>
      <c r="E212" s="2" t="s">
        <v>3198</v>
      </c>
      <c r="F212">
        <f t="shared" si="15"/>
        <v>4999</v>
      </c>
      <c r="G212" t="str">
        <f t="shared" si="16"/>
        <v>Yes</v>
      </c>
      <c r="H212" t="str">
        <f t="shared" si="17"/>
        <v>No</v>
      </c>
      <c r="I212" t="str">
        <f t="shared" si="18"/>
        <v>Asus Mouse</v>
      </c>
      <c r="J212" t="str">
        <f t="shared" si="19"/>
        <v>Unique</v>
      </c>
    </row>
    <row r="213" spans="1:10" x14ac:dyDescent="0.4">
      <c r="A213" s="2" t="s">
        <v>3398</v>
      </c>
      <c r="B213" s="2" t="s">
        <v>1173</v>
      </c>
      <c r="C213" s="2" t="s">
        <v>3184</v>
      </c>
      <c r="D213" s="2">
        <v>7999</v>
      </c>
      <c r="E213" s="2" t="s">
        <v>3198</v>
      </c>
      <c r="F213">
        <f t="shared" si="15"/>
        <v>7999</v>
      </c>
      <c r="G213" t="str">
        <f t="shared" si="16"/>
        <v>Yes</v>
      </c>
      <c r="H213" t="str">
        <f t="shared" si="17"/>
        <v>No</v>
      </c>
      <c r="I213" t="str">
        <f t="shared" si="18"/>
        <v>Dell Monitor</v>
      </c>
      <c r="J213" t="str">
        <f t="shared" si="19"/>
        <v>Unique</v>
      </c>
    </row>
    <row r="214" spans="1:10" x14ac:dyDescent="0.4">
      <c r="A214" s="2" t="s">
        <v>3399</v>
      </c>
      <c r="B214" s="2" t="s">
        <v>1180</v>
      </c>
      <c r="C214" s="2" t="s">
        <v>3181</v>
      </c>
      <c r="D214" s="2">
        <v>12999</v>
      </c>
      <c r="E214" s="2" t="s">
        <v>3198</v>
      </c>
      <c r="F214">
        <f t="shared" si="15"/>
        <v>12999</v>
      </c>
      <c r="G214" t="str">
        <f t="shared" si="16"/>
        <v>Yes</v>
      </c>
      <c r="H214" t="str">
        <f t="shared" si="17"/>
        <v>No</v>
      </c>
      <c r="I214" t="str">
        <f t="shared" si="18"/>
        <v>Canon Printer</v>
      </c>
      <c r="J214" t="str">
        <f t="shared" si="19"/>
        <v>Unique</v>
      </c>
    </row>
    <row r="215" spans="1:10" x14ac:dyDescent="0.4">
      <c r="A215" s="2" t="s">
        <v>3400</v>
      </c>
      <c r="B215" s="2" t="s">
        <v>1175</v>
      </c>
      <c r="C215" s="2" t="s">
        <v>3181</v>
      </c>
      <c r="D215" s="2">
        <v>7999</v>
      </c>
      <c r="E215" s="2"/>
      <c r="F215">
        <f t="shared" si="15"/>
        <v>7999</v>
      </c>
      <c r="G215" t="str">
        <f t="shared" si="16"/>
        <v/>
      </c>
      <c r="H215" t="str">
        <f t="shared" si="17"/>
        <v>No</v>
      </c>
      <c r="I215" t="str">
        <f t="shared" si="18"/>
        <v>Hp Laptop</v>
      </c>
      <c r="J215" t="str">
        <f t="shared" si="19"/>
        <v>Unique</v>
      </c>
    </row>
    <row r="216" spans="1:10" x14ac:dyDescent="0.4">
      <c r="A216" s="2" t="s">
        <v>3401</v>
      </c>
      <c r="B216" s="2" t="s">
        <v>1173</v>
      </c>
      <c r="C216" s="2" t="s">
        <v>3181</v>
      </c>
      <c r="D216" s="2">
        <v>4999</v>
      </c>
      <c r="E216" s="2" t="s">
        <v>3185</v>
      </c>
      <c r="F216">
        <f t="shared" si="15"/>
        <v>4999</v>
      </c>
      <c r="G216" t="str">
        <f t="shared" si="16"/>
        <v>Yes</v>
      </c>
      <c r="H216" t="str">
        <f t="shared" si="17"/>
        <v>No</v>
      </c>
      <c r="I216" t="str">
        <f t="shared" si="18"/>
        <v>Dell Monitor</v>
      </c>
      <c r="J216" t="str">
        <f t="shared" si="19"/>
        <v>Unique</v>
      </c>
    </row>
    <row r="217" spans="1:10" x14ac:dyDescent="0.4">
      <c r="A217" s="2" t="s">
        <v>3402</v>
      </c>
      <c r="B217" s="2" t="s">
        <v>1171</v>
      </c>
      <c r="C217" s="2" t="s">
        <v>3189</v>
      </c>
      <c r="D217" s="2">
        <v>15999</v>
      </c>
      <c r="E217" s="2" t="s">
        <v>3198</v>
      </c>
      <c r="F217">
        <f t="shared" si="15"/>
        <v>15999</v>
      </c>
      <c r="G217" t="str">
        <f t="shared" si="16"/>
        <v>Yes</v>
      </c>
      <c r="H217" t="str">
        <f t="shared" si="17"/>
        <v>No</v>
      </c>
      <c r="I217" t="str">
        <f t="shared" si="18"/>
        <v>Asus Mouse</v>
      </c>
      <c r="J217" t="str">
        <f t="shared" si="19"/>
        <v>Unique</v>
      </c>
    </row>
    <row r="218" spans="1:10" x14ac:dyDescent="0.4">
      <c r="A218" s="2" t="s">
        <v>3403</v>
      </c>
      <c r="B218" s="2" t="s">
        <v>1180</v>
      </c>
      <c r="C218" s="2" t="s">
        <v>3189</v>
      </c>
      <c r="D218" s="2">
        <v>7999</v>
      </c>
      <c r="E218" s="2" t="s">
        <v>3185</v>
      </c>
      <c r="F218">
        <f t="shared" si="15"/>
        <v>7999</v>
      </c>
      <c r="G218" t="str">
        <f t="shared" si="16"/>
        <v>Yes</v>
      </c>
      <c r="H218" t="str">
        <f t="shared" si="17"/>
        <v>No</v>
      </c>
      <c r="I218" t="str">
        <f t="shared" si="18"/>
        <v>Canon Printer</v>
      </c>
      <c r="J218" t="str">
        <f t="shared" si="19"/>
        <v>Unique</v>
      </c>
    </row>
    <row r="219" spans="1:10" x14ac:dyDescent="0.4">
      <c r="A219" s="2" t="s">
        <v>3404</v>
      </c>
      <c r="B219" s="2" t="s">
        <v>1175</v>
      </c>
      <c r="C219" s="2" t="s">
        <v>3181</v>
      </c>
      <c r="D219" s="2">
        <v>4999</v>
      </c>
      <c r="E219" s="2" t="s">
        <v>3182</v>
      </c>
      <c r="F219">
        <f t="shared" si="15"/>
        <v>4999</v>
      </c>
      <c r="G219" t="str">
        <f t="shared" si="16"/>
        <v>No</v>
      </c>
      <c r="H219" t="str">
        <f t="shared" si="17"/>
        <v>No</v>
      </c>
      <c r="I219" t="str">
        <f t="shared" si="18"/>
        <v>Hp Laptop</v>
      </c>
      <c r="J219" t="str">
        <f t="shared" si="19"/>
        <v>Unique</v>
      </c>
    </row>
    <row r="220" spans="1:10" x14ac:dyDescent="0.4">
      <c r="A220" s="2" t="s">
        <v>3405</v>
      </c>
      <c r="B220" s="2" t="s">
        <v>1187</v>
      </c>
      <c r="C220" s="2" t="s">
        <v>3184</v>
      </c>
      <c r="D220" s="2"/>
      <c r="E220" s="2" t="s">
        <v>3198</v>
      </c>
      <c r="F220">
        <f t="shared" si="15"/>
        <v>12999</v>
      </c>
      <c r="G220" t="str">
        <f t="shared" si="16"/>
        <v>Yes</v>
      </c>
      <c r="H220" t="str">
        <f t="shared" si="17"/>
        <v>Missing Price</v>
      </c>
      <c r="I220" t="str">
        <f t="shared" si="18"/>
        <v>Apple Ipad</v>
      </c>
      <c r="J220" t="str">
        <f t="shared" si="19"/>
        <v>Unique</v>
      </c>
    </row>
    <row r="221" spans="1:10" x14ac:dyDescent="0.4">
      <c r="A221" s="2" t="s">
        <v>3406</v>
      </c>
      <c r="B221" s="2" t="s">
        <v>1180</v>
      </c>
      <c r="C221" s="2" t="s">
        <v>3181</v>
      </c>
      <c r="D221" s="2">
        <v>7999</v>
      </c>
      <c r="E221" s="2" t="s">
        <v>3198</v>
      </c>
      <c r="F221">
        <f t="shared" si="15"/>
        <v>7999</v>
      </c>
      <c r="G221" t="str">
        <f t="shared" si="16"/>
        <v>Yes</v>
      </c>
      <c r="H221" t="str">
        <f t="shared" si="17"/>
        <v>No</v>
      </c>
      <c r="I221" t="str">
        <f t="shared" si="18"/>
        <v>Canon Printer</v>
      </c>
      <c r="J221" t="str">
        <f t="shared" si="19"/>
        <v>Unique</v>
      </c>
    </row>
    <row r="222" spans="1:10" x14ac:dyDescent="0.4">
      <c r="A222" s="2" t="s">
        <v>3407</v>
      </c>
      <c r="B222" s="2" t="s">
        <v>1173</v>
      </c>
      <c r="C222" s="2"/>
      <c r="D222" s="2"/>
      <c r="E222" s="2" t="s">
        <v>3185</v>
      </c>
      <c r="F222">
        <f t="shared" si="15"/>
        <v>12999</v>
      </c>
      <c r="G222" t="str">
        <f t="shared" si="16"/>
        <v>Yes</v>
      </c>
      <c r="H222" t="str">
        <f t="shared" si="17"/>
        <v>Missing Price</v>
      </c>
      <c r="I222" t="str">
        <f t="shared" si="18"/>
        <v>Dell Monitor</v>
      </c>
      <c r="J222" t="str">
        <f t="shared" si="19"/>
        <v>Unique</v>
      </c>
    </row>
    <row r="223" spans="1:10" x14ac:dyDescent="0.4">
      <c r="A223" s="2" t="s">
        <v>3408</v>
      </c>
      <c r="B223" s="2" t="s">
        <v>1171</v>
      </c>
      <c r="C223" s="2" t="s">
        <v>3181</v>
      </c>
      <c r="D223" s="2">
        <v>4999</v>
      </c>
      <c r="E223" s="2"/>
      <c r="F223">
        <f t="shared" si="15"/>
        <v>4999</v>
      </c>
      <c r="G223" t="str">
        <f t="shared" si="16"/>
        <v/>
      </c>
      <c r="H223" t="str">
        <f t="shared" si="17"/>
        <v>No</v>
      </c>
      <c r="I223" t="str">
        <f t="shared" si="18"/>
        <v>Asus Mouse</v>
      </c>
      <c r="J223" t="str">
        <f t="shared" si="19"/>
        <v>Unique</v>
      </c>
    </row>
    <row r="224" spans="1:10" x14ac:dyDescent="0.4">
      <c r="A224" s="2" t="s">
        <v>3409</v>
      </c>
      <c r="B224" s="2" t="s">
        <v>1171</v>
      </c>
      <c r="C224" s="2" t="s">
        <v>3181</v>
      </c>
      <c r="D224" s="2"/>
      <c r="E224" s="2" t="s">
        <v>3182</v>
      </c>
      <c r="F224">
        <f t="shared" si="15"/>
        <v>12999</v>
      </c>
      <c r="G224" t="str">
        <f t="shared" si="16"/>
        <v>No</v>
      </c>
      <c r="H224" t="str">
        <f t="shared" si="17"/>
        <v>Missing Price</v>
      </c>
      <c r="I224" t="str">
        <f t="shared" si="18"/>
        <v>Asus Mouse</v>
      </c>
      <c r="J224" t="str">
        <f t="shared" si="19"/>
        <v>Unique</v>
      </c>
    </row>
    <row r="225" spans="1:10" x14ac:dyDescent="0.4">
      <c r="A225" s="2" t="s">
        <v>3410</v>
      </c>
      <c r="B225" s="2" t="s">
        <v>1180</v>
      </c>
      <c r="C225" s="2" t="s">
        <v>3189</v>
      </c>
      <c r="D225" s="2">
        <v>12999</v>
      </c>
      <c r="E225" s="2"/>
      <c r="F225">
        <f t="shared" si="15"/>
        <v>12999</v>
      </c>
      <c r="G225" t="str">
        <f t="shared" si="16"/>
        <v/>
      </c>
      <c r="H225" t="str">
        <f t="shared" si="17"/>
        <v>No</v>
      </c>
      <c r="I225" t="str">
        <f t="shared" si="18"/>
        <v>Canon Printer</v>
      </c>
      <c r="J225" t="str">
        <f t="shared" si="19"/>
        <v>Unique</v>
      </c>
    </row>
    <row r="226" spans="1:10" x14ac:dyDescent="0.4">
      <c r="A226" s="2" t="s">
        <v>3411</v>
      </c>
      <c r="B226" s="2" t="s">
        <v>1182</v>
      </c>
      <c r="C226" s="2" t="s">
        <v>3181</v>
      </c>
      <c r="D226" s="2">
        <v>15999</v>
      </c>
      <c r="E226" s="2" t="s">
        <v>3185</v>
      </c>
      <c r="F226">
        <f t="shared" si="15"/>
        <v>15999</v>
      </c>
      <c r="G226" t="str">
        <f t="shared" si="16"/>
        <v>Yes</v>
      </c>
      <c r="H226" t="str">
        <f t="shared" si="17"/>
        <v>No</v>
      </c>
      <c r="I226" t="str">
        <f t="shared" si="18"/>
        <v>Lenovo Keyboard</v>
      </c>
      <c r="J226" t="str">
        <f t="shared" si="19"/>
        <v>Unique</v>
      </c>
    </row>
    <row r="227" spans="1:10" x14ac:dyDescent="0.4">
      <c r="A227" s="2" t="s">
        <v>3412</v>
      </c>
      <c r="B227" s="2" t="s">
        <v>1182</v>
      </c>
      <c r="C227" s="2" t="s">
        <v>3187</v>
      </c>
      <c r="D227" s="2"/>
      <c r="E227" s="2" t="s">
        <v>3198</v>
      </c>
      <c r="F227">
        <f t="shared" si="15"/>
        <v>12999</v>
      </c>
      <c r="G227" t="str">
        <f t="shared" si="16"/>
        <v>Yes</v>
      </c>
      <c r="H227" t="str">
        <f t="shared" si="17"/>
        <v>Missing Price</v>
      </c>
      <c r="I227" t="str">
        <f t="shared" si="18"/>
        <v>Lenovo Keyboard</v>
      </c>
      <c r="J227" t="str">
        <f t="shared" si="19"/>
        <v>Unique</v>
      </c>
    </row>
    <row r="228" spans="1:10" x14ac:dyDescent="0.4">
      <c r="A228" s="2" t="s">
        <v>3413</v>
      </c>
      <c r="B228" s="2" t="s">
        <v>1173</v>
      </c>
      <c r="C228" s="2" t="s">
        <v>3187</v>
      </c>
      <c r="D228" s="2">
        <v>12999</v>
      </c>
      <c r="E228" s="2" t="s">
        <v>3185</v>
      </c>
      <c r="F228">
        <f t="shared" si="15"/>
        <v>12999</v>
      </c>
      <c r="G228" t="str">
        <f t="shared" si="16"/>
        <v>Yes</v>
      </c>
      <c r="H228" t="str">
        <f t="shared" si="17"/>
        <v>No</v>
      </c>
      <c r="I228" t="str">
        <f t="shared" si="18"/>
        <v>Dell Monitor</v>
      </c>
      <c r="J228" t="str">
        <f t="shared" si="19"/>
        <v>Unique</v>
      </c>
    </row>
    <row r="229" spans="1:10" x14ac:dyDescent="0.4">
      <c r="A229" s="2" t="s">
        <v>3414</v>
      </c>
      <c r="B229" s="2" t="s">
        <v>1180</v>
      </c>
      <c r="C229" s="2" t="s">
        <v>3184</v>
      </c>
      <c r="D229" s="2">
        <v>15999</v>
      </c>
      <c r="E229" s="2" t="s">
        <v>3185</v>
      </c>
      <c r="F229">
        <f t="shared" si="15"/>
        <v>15999</v>
      </c>
      <c r="G229" t="str">
        <f t="shared" si="16"/>
        <v>Yes</v>
      </c>
      <c r="H229" t="str">
        <f t="shared" si="17"/>
        <v>No</v>
      </c>
      <c r="I229" t="str">
        <f t="shared" si="18"/>
        <v>Canon Printer</v>
      </c>
      <c r="J229" t="str">
        <f t="shared" si="19"/>
        <v>Unique</v>
      </c>
    </row>
    <row r="230" spans="1:10" x14ac:dyDescent="0.4">
      <c r="A230" s="2" t="s">
        <v>3415</v>
      </c>
      <c r="B230" s="2" t="s">
        <v>1180</v>
      </c>
      <c r="C230" s="2" t="s">
        <v>3184</v>
      </c>
      <c r="D230" s="2">
        <v>4999</v>
      </c>
      <c r="E230" s="2" t="s">
        <v>3185</v>
      </c>
      <c r="F230">
        <f t="shared" si="15"/>
        <v>4999</v>
      </c>
      <c r="G230" t="str">
        <f t="shared" si="16"/>
        <v>Yes</v>
      </c>
      <c r="H230" t="str">
        <f t="shared" si="17"/>
        <v>No</v>
      </c>
      <c r="I230" t="str">
        <f t="shared" si="18"/>
        <v>Canon Printer</v>
      </c>
      <c r="J230" t="str">
        <f t="shared" si="19"/>
        <v>Unique</v>
      </c>
    </row>
    <row r="231" spans="1:10" x14ac:dyDescent="0.4">
      <c r="A231" s="2" t="s">
        <v>3416</v>
      </c>
      <c r="B231" s="2" t="s">
        <v>1175</v>
      </c>
      <c r="C231" s="2"/>
      <c r="D231" s="2">
        <v>4999</v>
      </c>
      <c r="E231" s="2" t="s">
        <v>3185</v>
      </c>
      <c r="F231">
        <f t="shared" si="15"/>
        <v>4999</v>
      </c>
      <c r="G231" t="str">
        <f t="shared" si="16"/>
        <v>Yes</v>
      </c>
      <c r="H231" t="str">
        <f t="shared" si="17"/>
        <v>No</v>
      </c>
      <c r="I231" t="str">
        <f t="shared" si="18"/>
        <v>Hp Laptop</v>
      </c>
      <c r="J231" t="str">
        <f t="shared" si="19"/>
        <v>Unique</v>
      </c>
    </row>
    <row r="232" spans="1:10" x14ac:dyDescent="0.4">
      <c r="A232" s="2" t="s">
        <v>3417</v>
      </c>
      <c r="B232" s="2" t="s">
        <v>1180</v>
      </c>
      <c r="C232" s="2" t="s">
        <v>3189</v>
      </c>
      <c r="D232" s="2">
        <v>7999</v>
      </c>
      <c r="E232" s="2" t="s">
        <v>3198</v>
      </c>
      <c r="F232">
        <f t="shared" si="15"/>
        <v>7999</v>
      </c>
      <c r="G232" t="str">
        <f t="shared" si="16"/>
        <v>Yes</v>
      </c>
      <c r="H232" t="str">
        <f t="shared" si="17"/>
        <v>No</v>
      </c>
      <c r="I232" t="str">
        <f t="shared" si="18"/>
        <v>Canon Printer</v>
      </c>
      <c r="J232" t="str">
        <f t="shared" si="19"/>
        <v>Unique</v>
      </c>
    </row>
    <row r="233" spans="1:10" x14ac:dyDescent="0.4">
      <c r="A233" s="2" t="s">
        <v>3418</v>
      </c>
      <c r="B233" s="2" t="s">
        <v>1187</v>
      </c>
      <c r="C233" s="2" t="s">
        <v>3181</v>
      </c>
      <c r="D233" s="2">
        <v>12999</v>
      </c>
      <c r="E233" s="2" t="s">
        <v>3182</v>
      </c>
      <c r="F233">
        <f t="shared" si="15"/>
        <v>12999</v>
      </c>
      <c r="G233" t="str">
        <f t="shared" si="16"/>
        <v>No</v>
      </c>
      <c r="H233" t="str">
        <f t="shared" si="17"/>
        <v>No</v>
      </c>
      <c r="I233" t="str">
        <f t="shared" si="18"/>
        <v>Apple Ipad</v>
      </c>
      <c r="J233" t="str">
        <f t="shared" si="19"/>
        <v>Unique</v>
      </c>
    </row>
    <row r="234" spans="1:10" x14ac:dyDescent="0.4">
      <c r="A234" s="2" t="s">
        <v>3419</v>
      </c>
      <c r="B234" s="2" t="s">
        <v>1187</v>
      </c>
      <c r="C234" s="2" t="s">
        <v>3187</v>
      </c>
      <c r="D234" s="2">
        <v>19999</v>
      </c>
      <c r="E234" s="2" t="s">
        <v>3198</v>
      </c>
      <c r="F234">
        <f t="shared" si="15"/>
        <v>19999</v>
      </c>
      <c r="G234" t="str">
        <f t="shared" si="16"/>
        <v>Yes</v>
      </c>
      <c r="H234" t="str">
        <f t="shared" si="17"/>
        <v>No</v>
      </c>
      <c r="I234" t="str">
        <f t="shared" si="18"/>
        <v>Apple Ipad</v>
      </c>
      <c r="J234" t="str">
        <f t="shared" si="19"/>
        <v>Unique</v>
      </c>
    </row>
    <row r="235" spans="1:10" x14ac:dyDescent="0.4">
      <c r="A235" s="2" t="s">
        <v>3420</v>
      </c>
      <c r="B235" s="2" t="s">
        <v>1175</v>
      </c>
      <c r="C235" s="2"/>
      <c r="D235" s="2">
        <v>15999</v>
      </c>
      <c r="E235" s="2" t="s">
        <v>3185</v>
      </c>
      <c r="F235">
        <f t="shared" si="15"/>
        <v>15999</v>
      </c>
      <c r="G235" t="str">
        <f t="shared" si="16"/>
        <v>Yes</v>
      </c>
      <c r="H235" t="str">
        <f t="shared" si="17"/>
        <v>No</v>
      </c>
      <c r="I235" t="str">
        <f t="shared" si="18"/>
        <v>Hp Laptop</v>
      </c>
      <c r="J235" t="str">
        <f t="shared" si="19"/>
        <v>Unique</v>
      </c>
    </row>
    <row r="236" spans="1:10" x14ac:dyDescent="0.4">
      <c r="A236" s="2" t="s">
        <v>3421</v>
      </c>
      <c r="B236" s="2" t="s">
        <v>1182</v>
      </c>
      <c r="C236" s="2" t="s">
        <v>3187</v>
      </c>
      <c r="D236" s="2">
        <v>7999</v>
      </c>
      <c r="E236" s="2" t="s">
        <v>3185</v>
      </c>
      <c r="F236">
        <f t="shared" si="15"/>
        <v>7999</v>
      </c>
      <c r="G236" t="str">
        <f t="shared" si="16"/>
        <v>Yes</v>
      </c>
      <c r="H236" t="str">
        <f t="shared" si="17"/>
        <v>No</v>
      </c>
      <c r="I236" t="str">
        <f t="shared" si="18"/>
        <v>Lenovo Keyboard</v>
      </c>
      <c r="J236" t="str">
        <f t="shared" si="19"/>
        <v>Unique</v>
      </c>
    </row>
    <row r="237" spans="1:10" x14ac:dyDescent="0.4">
      <c r="A237" s="2" t="s">
        <v>3422</v>
      </c>
      <c r="B237" s="2" t="s">
        <v>1171</v>
      </c>
      <c r="C237" s="2" t="s">
        <v>3187</v>
      </c>
      <c r="D237" s="2">
        <v>7999</v>
      </c>
      <c r="E237" s="2" t="s">
        <v>3198</v>
      </c>
      <c r="F237">
        <f t="shared" si="15"/>
        <v>7999</v>
      </c>
      <c r="G237" t="str">
        <f t="shared" si="16"/>
        <v>Yes</v>
      </c>
      <c r="H237" t="str">
        <f t="shared" si="17"/>
        <v>No</v>
      </c>
      <c r="I237" t="str">
        <f t="shared" si="18"/>
        <v>Asus Mouse</v>
      </c>
      <c r="J237" t="str">
        <f t="shared" si="19"/>
        <v>Unique</v>
      </c>
    </row>
    <row r="238" spans="1:10" x14ac:dyDescent="0.4">
      <c r="A238" s="2" t="s">
        <v>3423</v>
      </c>
      <c r="B238" s="2" t="s">
        <v>1180</v>
      </c>
      <c r="C238" s="2"/>
      <c r="D238" s="2">
        <v>4999</v>
      </c>
      <c r="E238" s="2"/>
      <c r="F238">
        <f t="shared" si="15"/>
        <v>4999</v>
      </c>
      <c r="G238" t="str">
        <f t="shared" si="16"/>
        <v/>
      </c>
      <c r="H238" t="str">
        <f t="shared" si="17"/>
        <v>No</v>
      </c>
      <c r="I238" t="str">
        <f t="shared" si="18"/>
        <v>Canon Printer</v>
      </c>
      <c r="J238" t="str">
        <f t="shared" si="19"/>
        <v>Unique</v>
      </c>
    </row>
    <row r="239" spans="1:10" x14ac:dyDescent="0.4">
      <c r="A239" s="2" t="s">
        <v>3424</v>
      </c>
      <c r="B239" s="2" t="s">
        <v>1182</v>
      </c>
      <c r="C239" s="2" t="s">
        <v>3187</v>
      </c>
      <c r="D239" s="2"/>
      <c r="E239" s="2"/>
      <c r="F239">
        <f t="shared" si="15"/>
        <v>12999</v>
      </c>
      <c r="G239" t="str">
        <f t="shared" si="16"/>
        <v/>
      </c>
      <c r="H239" t="str">
        <f t="shared" si="17"/>
        <v>Missing Price</v>
      </c>
      <c r="I239" t="str">
        <f t="shared" si="18"/>
        <v>Lenovo Keyboard</v>
      </c>
      <c r="J239" t="str">
        <f t="shared" si="19"/>
        <v>Unique</v>
      </c>
    </row>
    <row r="240" spans="1:10" x14ac:dyDescent="0.4">
      <c r="A240" s="2" t="s">
        <v>3425</v>
      </c>
      <c r="B240" s="2" t="s">
        <v>1173</v>
      </c>
      <c r="C240" s="2" t="s">
        <v>3189</v>
      </c>
      <c r="D240" s="2">
        <v>15999</v>
      </c>
      <c r="E240" s="2"/>
      <c r="F240">
        <f t="shared" si="15"/>
        <v>15999</v>
      </c>
      <c r="G240" t="str">
        <f t="shared" si="16"/>
        <v/>
      </c>
      <c r="H240" t="str">
        <f t="shared" si="17"/>
        <v>No</v>
      </c>
      <c r="I240" t="str">
        <f t="shared" si="18"/>
        <v>Dell Monitor</v>
      </c>
      <c r="J240" t="str">
        <f t="shared" si="19"/>
        <v>Unique</v>
      </c>
    </row>
    <row r="241" spans="1:10" x14ac:dyDescent="0.4">
      <c r="A241" s="2" t="s">
        <v>3426</v>
      </c>
      <c r="B241" s="2" t="s">
        <v>1182</v>
      </c>
      <c r="C241" s="2" t="s">
        <v>3181</v>
      </c>
      <c r="D241" s="2">
        <v>19999</v>
      </c>
      <c r="E241" s="2" t="s">
        <v>3185</v>
      </c>
      <c r="F241">
        <f t="shared" si="15"/>
        <v>19999</v>
      </c>
      <c r="G241" t="str">
        <f t="shared" si="16"/>
        <v>Yes</v>
      </c>
      <c r="H241" t="str">
        <f t="shared" si="17"/>
        <v>No</v>
      </c>
      <c r="I241" t="str">
        <f t="shared" si="18"/>
        <v>Lenovo Keyboard</v>
      </c>
      <c r="J241" t="str">
        <f t="shared" si="19"/>
        <v>Unique</v>
      </c>
    </row>
    <row r="242" spans="1:10" x14ac:dyDescent="0.4">
      <c r="A242" s="2" t="s">
        <v>3427</v>
      </c>
      <c r="B242" s="2" t="s">
        <v>1175</v>
      </c>
      <c r="C242" s="2" t="s">
        <v>3187</v>
      </c>
      <c r="D242" s="2">
        <v>4999</v>
      </c>
      <c r="E242" s="2" t="s">
        <v>3198</v>
      </c>
      <c r="F242">
        <f t="shared" si="15"/>
        <v>4999</v>
      </c>
      <c r="G242" t="str">
        <f t="shared" si="16"/>
        <v>Yes</v>
      </c>
      <c r="H242" t="str">
        <f t="shared" si="17"/>
        <v>No</v>
      </c>
      <c r="I242" t="str">
        <f t="shared" si="18"/>
        <v>Hp Laptop</v>
      </c>
      <c r="J242" t="str">
        <f t="shared" si="19"/>
        <v>Unique</v>
      </c>
    </row>
    <row r="243" spans="1:10" x14ac:dyDescent="0.4">
      <c r="A243" s="2" t="s">
        <v>3428</v>
      </c>
      <c r="B243" s="2" t="s">
        <v>1180</v>
      </c>
      <c r="C243" s="2" t="s">
        <v>3181</v>
      </c>
      <c r="D243" s="2">
        <v>4999</v>
      </c>
      <c r="E243" s="2" t="s">
        <v>3198</v>
      </c>
      <c r="F243">
        <f t="shared" si="15"/>
        <v>4999</v>
      </c>
      <c r="G243" t="str">
        <f t="shared" si="16"/>
        <v>Yes</v>
      </c>
      <c r="H243" t="str">
        <f t="shared" si="17"/>
        <v>No</v>
      </c>
      <c r="I243" t="str">
        <f t="shared" si="18"/>
        <v>Canon Printer</v>
      </c>
      <c r="J243" t="str">
        <f t="shared" si="19"/>
        <v>Unique</v>
      </c>
    </row>
    <row r="244" spans="1:10" x14ac:dyDescent="0.4">
      <c r="A244" s="2" t="s">
        <v>3429</v>
      </c>
      <c r="B244" s="2" t="s">
        <v>1173</v>
      </c>
      <c r="C244" s="2"/>
      <c r="D244" s="2">
        <v>19999</v>
      </c>
      <c r="E244" s="2"/>
      <c r="F244">
        <f t="shared" si="15"/>
        <v>19999</v>
      </c>
      <c r="G244" t="str">
        <f t="shared" si="16"/>
        <v/>
      </c>
      <c r="H244" t="str">
        <f t="shared" si="17"/>
        <v>No</v>
      </c>
      <c r="I244" t="str">
        <f t="shared" si="18"/>
        <v>Dell Monitor</v>
      </c>
      <c r="J244" t="str">
        <f t="shared" si="19"/>
        <v>Unique</v>
      </c>
    </row>
    <row r="245" spans="1:10" x14ac:dyDescent="0.4">
      <c r="A245" s="2" t="s">
        <v>3430</v>
      </c>
      <c r="B245" s="2" t="s">
        <v>1175</v>
      </c>
      <c r="C245" s="2" t="s">
        <v>3187</v>
      </c>
      <c r="D245" s="2"/>
      <c r="E245" s="2"/>
      <c r="F245">
        <f t="shared" si="15"/>
        <v>12999</v>
      </c>
      <c r="G245" t="str">
        <f t="shared" si="16"/>
        <v/>
      </c>
      <c r="H245" t="str">
        <f t="shared" si="17"/>
        <v>Missing Price</v>
      </c>
      <c r="I245" t="str">
        <f t="shared" si="18"/>
        <v>Hp Laptop</v>
      </c>
      <c r="J245" t="str">
        <f t="shared" si="19"/>
        <v>Unique</v>
      </c>
    </row>
    <row r="246" spans="1:10" x14ac:dyDescent="0.4">
      <c r="A246" s="2" t="s">
        <v>3431</v>
      </c>
      <c r="B246" s="2" t="s">
        <v>1173</v>
      </c>
      <c r="C246" s="2" t="s">
        <v>3184</v>
      </c>
      <c r="D246" s="2">
        <v>12999</v>
      </c>
      <c r="E246" s="2" t="s">
        <v>3198</v>
      </c>
      <c r="F246">
        <f t="shared" si="15"/>
        <v>12999</v>
      </c>
      <c r="G246" t="str">
        <f t="shared" si="16"/>
        <v>Yes</v>
      </c>
      <c r="H246" t="str">
        <f t="shared" si="17"/>
        <v>No</v>
      </c>
      <c r="I246" t="str">
        <f t="shared" si="18"/>
        <v>Dell Monitor</v>
      </c>
      <c r="J246" t="str">
        <f t="shared" si="19"/>
        <v>Unique</v>
      </c>
    </row>
    <row r="247" spans="1:10" x14ac:dyDescent="0.4">
      <c r="A247" s="2" t="s">
        <v>3432</v>
      </c>
      <c r="B247" s="2" t="s">
        <v>1180</v>
      </c>
      <c r="C247" s="2" t="s">
        <v>3181</v>
      </c>
      <c r="D247" s="2">
        <v>12999</v>
      </c>
      <c r="E247" s="2" t="s">
        <v>3185</v>
      </c>
      <c r="F247">
        <f t="shared" si="15"/>
        <v>12999</v>
      </c>
      <c r="G247" t="str">
        <f t="shared" si="16"/>
        <v>Yes</v>
      </c>
      <c r="H247" t="str">
        <f t="shared" si="17"/>
        <v>No</v>
      </c>
      <c r="I247" t="str">
        <f t="shared" si="18"/>
        <v>Canon Printer</v>
      </c>
      <c r="J247" t="str">
        <f t="shared" si="19"/>
        <v>Unique</v>
      </c>
    </row>
    <row r="248" spans="1:10" x14ac:dyDescent="0.4">
      <c r="A248" s="2" t="s">
        <v>3433</v>
      </c>
      <c r="B248" s="2" t="s">
        <v>1171</v>
      </c>
      <c r="C248" s="2" t="s">
        <v>3181</v>
      </c>
      <c r="D248" s="2">
        <v>19999</v>
      </c>
      <c r="E248" s="2"/>
      <c r="F248">
        <f t="shared" si="15"/>
        <v>19999</v>
      </c>
      <c r="G248" t="str">
        <f t="shared" si="16"/>
        <v/>
      </c>
      <c r="H248" t="str">
        <f t="shared" si="17"/>
        <v>No</v>
      </c>
      <c r="I248" t="str">
        <f t="shared" si="18"/>
        <v>Asus Mouse</v>
      </c>
      <c r="J248" t="str">
        <f t="shared" si="19"/>
        <v>Unique</v>
      </c>
    </row>
    <row r="249" spans="1:10" x14ac:dyDescent="0.4">
      <c r="A249" s="2" t="s">
        <v>3434</v>
      </c>
      <c r="B249" s="2" t="s">
        <v>1182</v>
      </c>
      <c r="C249" s="2" t="s">
        <v>3187</v>
      </c>
      <c r="D249" s="2">
        <v>15999</v>
      </c>
      <c r="E249" s="2" t="s">
        <v>3182</v>
      </c>
      <c r="F249">
        <f t="shared" si="15"/>
        <v>15999</v>
      </c>
      <c r="G249" t="str">
        <f t="shared" si="16"/>
        <v>No</v>
      </c>
      <c r="H249" t="str">
        <f t="shared" si="17"/>
        <v>No</v>
      </c>
      <c r="I249" t="str">
        <f t="shared" si="18"/>
        <v>Lenovo Keyboard</v>
      </c>
      <c r="J249" t="str">
        <f t="shared" si="19"/>
        <v>Unique</v>
      </c>
    </row>
    <row r="250" spans="1:10" x14ac:dyDescent="0.4">
      <c r="A250" s="2" t="s">
        <v>3435</v>
      </c>
      <c r="B250" s="2" t="s">
        <v>1175</v>
      </c>
      <c r="C250" s="2" t="s">
        <v>3189</v>
      </c>
      <c r="D250" s="2"/>
      <c r="E250" s="2" t="s">
        <v>3182</v>
      </c>
      <c r="F250">
        <f t="shared" si="15"/>
        <v>12999</v>
      </c>
      <c r="G250" t="str">
        <f t="shared" si="16"/>
        <v>No</v>
      </c>
      <c r="H250" t="str">
        <f t="shared" si="17"/>
        <v>Missing Price</v>
      </c>
      <c r="I250" t="str">
        <f t="shared" si="18"/>
        <v>Hp Laptop</v>
      </c>
      <c r="J250" t="str">
        <f t="shared" si="19"/>
        <v>Unique</v>
      </c>
    </row>
    <row r="251" spans="1:10" x14ac:dyDescent="0.4">
      <c r="A251" s="2" t="s">
        <v>3436</v>
      </c>
      <c r="B251" s="2" t="s">
        <v>1173</v>
      </c>
      <c r="C251" s="2" t="s">
        <v>3189</v>
      </c>
      <c r="D251" s="2"/>
      <c r="E251" s="2" t="s">
        <v>3198</v>
      </c>
      <c r="F251">
        <f t="shared" si="15"/>
        <v>12999</v>
      </c>
      <c r="G251" t="str">
        <f t="shared" si="16"/>
        <v>Yes</v>
      </c>
      <c r="H251" t="str">
        <f t="shared" si="17"/>
        <v>Missing Price</v>
      </c>
      <c r="I251" t="str">
        <f t="shared" si="18"/>
        <v>Dell Monitor</v>
      </c>
      <c r="J251" t="str">
        <f t="shared" si="19"/>
        <v>Unique</v>
      </c>
    </row>
    <row r="252" spans="1:10" x14ac:dyDescent="0.4">
      <c r="A252" s="2" t="s">
        <v>3437</v>
      </c>
      <c r="B252" s="2" t="s">
        <v>1182</v>
      </c>
      <c r="C252" s="2" t="s">
        <v>3187</v>
      </c>
      <c r="D252" s="2">
        <v>7999</v>
      </c>
      <c r="E252" s="2" t="s">
        <v>3185</v>
      </c>
      <c r="F252">
        <f t="shared" si="15"/>
        <v>7999</v>
      </c>
      <c r="G252" t="str">
        <f t="shared" si="16"/>
        <v>Yes</v>
      </c>
      <c r="H252" t="str">
        <f t="shared" si="17"/>
        <v>No</v>
      </c>
      <c r="I252" t="str">
        <f t="shared" si="18"/>
        <v>Lenovo Keyboard</v>
      </c>
      <c r="J252" t="str">
        <f t="shared" si="19"/>
        <v>Unique</v>
      </c>
    </row>
    <row r="253" spans="1:10" x14ac:dyDescent="0.4">
      <c r="A253" s="2" t="s">
        <v>3438</v>
      </c>
      <c r="B253" s="2" t="s">
        <v>1187</v>
      </c>
      <c r="C253" s="2" t="s">
        <v>3184</v>
      </c>
      <c r="D253" s="2"/>
      <c r="E253" s="2" t="s">
        <v>3182</v>
      </c>
      <c r="F253">
        <f t="shared" si="15"/>
        <v>12999</v>
      </c>
      <c r="G253" t="str">
        <f t="shared" si="16"/>
        <v>No</v>
      </c>
      <c r="H253" t="str">
        <f t="shared" si="17"/>
        <v>Missing Price</v>
      </c>
      <c r="I253" t="str">
        <f t="shared" si="18"/>
        <v>Apple Ipad</v>
      </c>
      <c r="J253" t="str">
        <f t="shared" si="19"/>
        <v>Unique</v>
      </c>
    </row>
    <row r="254" spans="1:10" x14ac:dyDescent="0.4">
      <c r="A254" s="2" t="s">
        <v>3439</v>
      </c>
      <c r="B254" s="2" t="s">
        <v>1175</v>
      </c>
      <c r="C254" s="2"/>
      <c r="D254" s="2">
        <v>19999</v>
      </c>
      <c r="E254" s="2"/>
      <c r="F254">
        <f t="shared" si="15"/>
        <v>19999</v>
      </c>
      <c r="G254" t="str">
        <f t="shared" si="16"/>
        <v/>
      </c>
      <c r="H254" t="str">
        <f t="shared" si="17"/>
        <v>No</v>
      </c>
      <c r="I254" t="str">
        <f t="shared" si="18"/>
        <v>Hp Laptop</v>
      </c>
      <c r="J254" t="str">
        <f t="shared" si="19"/>
        <v>Unique</v>
      </c>
    </row>
    <row r="255" spans="1:10" x14ac:dyDescent="0.4">
      <c r="A255" s="2" t="s">
        <v>3440</v>
      </c>
      <c r="B255" s="2" t="s">
        <v>1171</v>
      </c>
      <c r="C255" s="2" t="s">
        <v>3189</v>
      </c>
      <c r="D255" s="2">
        <v>15999</v>
      </c>
      <c r="E255" s="2" t="s">
        <v>3185</v>
      </c>
      <c r="F255">
        <f t="shared" si="15"/>
        <v>15999</v>
      </c>
      <c r="G255" t="str">
        <f t="shared" si="16"/>
        <v>Yes</v>
      </c>
      <c r="H255" t="str">
        <f t="shared" si="17"/>
        <v>No</v>
      </c>
      <c r="I255" t="str">
        <f t="shared" si="18"/>
        <v>Asus Mouse</v>
      </c>
      <c r="J255" t="str">
        <f t="shared" si="19"/>
        <v>Unique</v>
      </c>
    </row>
    <row r="256" spans="1:10" x14ac:dyDescent="0.4">
      <c r="A256" s="2" t="s">
        <v>3441</v>
      </c>
      <c r="B256" s="2" t="s">
        <v>1173</v>
      </c>
      <c r="C256" s="2" t="s">
        <v>3181</v>
      </c>
      <c r="D256" s="2"/>
      <c r="E256" s="2" t="s">
        <v>3198</v>
      </c>
      <c r="F256">
        <f t="shared" si="15"/>
        <v>12999</v>
      </c>
      <c r="G256" t="str">
        <f t="shared" si="16"/>
        <v>Yes</v>
      </c>
      <c r="H256" t="str">
        <f t="shared" si="17"/>
        <v>Missing Price</v>
      </c>
      <c r="I256" t="str">
        <f t="shared" si="18"/>
        <v>Dell Monitor</v>
      </c>
      <c r="J256" t="str">
        <f t="shared" si="19"/>
        <v>Unique</v>
      </c>
    </row>
    <row r="257" spans="1:10" x14ac:dyDescent="0.4">
      <c r="A257" s="2" t="s">
        <v>3442</v>
      </c>
      <c r="B257" s="2" t="s">
        <v>1175</v>
      </c>
      <c r="C257" s="2"/>
      <c r="D257" s="2">
        <v>7999</v>
      </c>
      <c r="E257" s="2"/>
      <c r="F257">
        <f t="shared" si="15"/>
        <v>7999</v>
      </c>
      <c r="G257" t="str">
        <f t="shared" si="16"/>
        <v/>
      </c>
      <c r="H257" t="str">
        <f t="shared" si="17"/>
        <v>No</v>
      </c>
      <c r="I257" t="str">
        <f t="shared" si="18"/>
        <v>Hp Laptop</v>
      </c>
      <c r="J257" t="str">
        <f t="shared" si="19"/>
        <v>Unique</v>
      </c>
    </row>
    <row r="258" spans="1:10" x14ac:dyDescent="0.4">
      <c r="A258" s="2" t="s">
        <v>3443</v>
      </c>
      <c r="B258" s="2" t="s">
        <v>1175</v>
      </c>
      <c r="C258" s="2" t="s">
        <v>3184</v>
      </c>
      <c r="D258" s="2">
        <v>12999</v>
      </c>
      <c r="E258" s="2" t="s">
        <v>3185</v>
      </c>
      <c r="F258">
        <f t="shared" si="15"/>
        <v>12999</v>
      </c>
      <c r="G258" t="str">
        <f t="shared" si="16"/>
        <v>Yes</v>
      </c>
      <c r="H258" t="str">
        <f t="shared" si="17"/>
        <v>No</v>
      </c>
      <c r="I258" t="str">
        <f t="shared" si="18"/>
        <v>Hp Laptop</v>
      </c>
      <c r="J258" t="str">
        <f t="shared" si="19"/>
        <v>Unique</v>
      </c>
    </row>
    <row r="259" spans="1:10" x14ac:dyDescent="0.4">
      <c r="A259" s="2" t="s">
        <v>3444</v>
      </c>
      <c r="B259" s="2" t="s">
        <v>1187</v>
      </c>
      <c r="C259" s="2" t="s">
        <v>3181</v>
      </c>
      <c r="D259" s="2"/>
      <c r="E259" s="2" t="s">
        <v>3198</v>
      </c>
      <c r="F259">
        <f t="shared" ref="F259:F322" si="20">IF(D259="",MEDIAN($D$2:$D$501),D259)</f>
        <v>12999</v>
      </c>
      <c r="G259" t="str">
        <f t="shared" ref="G259:G322" si="21">PROPER(E259)</f>
        <v>Yes</v>
      </c>
      <c r="H259" t="str">
        <f t="shared" ref="H259:H322" si="22">IF(ISBLANK(D259),"Missing Price","No")</f>
        <v>Missing Price</v>
      </c>
      <c r="I259" t="str">
        <f t="shared" ref="I259:I322" si="23">PROPER(B259)</f>
        <v>Apple Ipad</v>
      </c>
      <c r="J259" t="str">
        <f t="shared" ref="J259:J322" si="24">IF(COUNTIF($A$2:$A$501,A259)&gt;1,"Duplicate","Unique")</f>
        <v>Unique</v>
      </c>
    </row>
    <row r="260" spans="1:10" x14ac:dyDescent="0.4">
      <c r="A260" s="2" t="s">
        <v>3445</v>
      </c>
      <c r="B260" s="2" t="s">
        <v>1180</v>
      </c>
      <c r="C260" s="2"/>
      <c r="D260" s="2"/>
      <c r="E260" s="2" t="s">
        <v>3185</v>
      </c>
      <c r="F260">
        <f t="shared" si="20"/>
        <v>12999</v>
      </c>
      <c r="G260" t="str">
        <f t="shared" si="21"/>
        <v>Yes</v>
      </c>
      <c r="H260" t="str">
        <f t="shared" si="22"/>
        <v>Missing Price</v>
      </c>
      <c r="I260" t="str">
        <f t="shared" si="23"/>
        <v>Canon Printer</v>
      </c>
      <c r="J260" t="str">
        <f t="shared" si="24"/>
        <v>Unique</v>
      </c>
    </row>
    <row r="261" spans="1:10" x14ac:dyDescent="0.4">
      <c r="A261" s="2" t="s">
        <v>3446</v>
      </c>
      <c r="B261" s="2" t="s">
        <v>1171</v>
      </c>
      <c r="C261" s="2" t="s">
        <v>3181</v>
      </c>
      <c r="D261" s="2">
        <v>15999</v>
      </c>
      <c r="E261" s="2" t="s">
        <v>3182</v>
      </c>
      <c r="F261">
        <f t="shared" si="20"/>
        <v>15999</v>
      </c>
      <c r="G261" t="str">
        <f t="shared" si="21"/>
        <v>No</v>
      </c>
      <c r="H261" t="str">
        <f t="shared" si="22"/>
        <v>No</v>
      </c>
      <c r="I261" t="str">
        <f t="shared" si="23"/>
        <v>Asus Mouse</v>
      </c>
      <c r="J261" t="str">
        <f t="shared" si="24"/>
        <v>Unique</v>
      </c>
    </row>
    <row r="262" spans="1:10" x14ac:dyDescent="0.4">
      <c r="A262" s="2" t="s">
        <v>3447</v>
      </c>
      <c r="B262" s="2" t="s">
        <v>1180</v>
      </c>
      <c r="C262" s="2"/>
      <c r="D262" s="2">
        <v>19999</v>
      </c>
      <c r="E262" s="2" t="s">
        <v>3182</v>
      </c>
      <c r="F262">
        <f t="shared" si="20"/>
        <v>19999</v>
      </c>
      <c r="G262" t="str">
        <f t="shared" si="21"/>
        <v>No</v>
      </c>
      <c r="H262" t="str">
        <f t="shared" si="22"/>
        <v>No</v>
      </c>
      <c r="I262" t="str">
        <f t="shared" si="23"/>
        <v>Canon Printer</v>
      </c>
      <c r="J262" t="str">
        <f t="shared" si="24"/>
        <v>Unique</v>
      </c>
    </row>
    <row r="263" spans="1:10" x14ac:dyDescent="0.4">
      <c r="A263" s="2" t="s">
        <v>3448</v>
      </c>
      <c r="B263" s="2" t="s">
        <v>1187</v>
      </c>
      <c r="C263" s="2"/>
      <c r="D263" s="2">
        <v>19999</v>
      </c>
      <c r="E263" s="2" t="s">
        <v>3198</v>
      </c>
      <c r="F263">
        <f t="shared" si="20"/>
        <v>19999</v>
      </c>
      <c r="G263" t="str">
        <f t="shared" si="21"/>
        <v>Yes</v>
      </c>
      <c r="H263" t="str">
        <f t="shared" si="22"/>
        <v>No</v>
      </c>
      <c r="I263" t="str">
        <f t="shared" si="23"/>
        <v>Apple Ipad</v>
      </c>
      <c r="J263" t="str">
        <f t="shared" si="24"/>
        <v>Unique</v>
      </c>
    </row>
    <row r="264" spans="1:10" x14ac:dyDescent="0.4">
      <c r="A264" s="2" t="s">
        <v>3449</v>
      </c>
      <c r="B264" s="2" t="s">
        <v>1173</v>
      </c>
      <c r="C264" s="2" t="s">
        <v>3189</v>
      </c>
      <c r="D264" s="2">
        <v>7999</v>
      </c>
      <c r="E264" s="2" t="s">
        <v>3182</v>
      </c>
      <c r="F264">
        <f t="shared" si="20"/>
        <v>7999</v>
      </c>
      <c r="G264" t="str">
        <f t="shared" si="21"/>
        <v>No</v>
      </c>
      <c r="H264" t="str">
        <f t="shared" si="22"/>
        <v>No</v>
      </c>
      <c r="I264" t="str">
        <f t="shared" si="23"/>
        <v>Dell Monitor</v>
      </c>
      <c r="J264" t="str">
        <f t="shared" si="24"/>
        <v>Unique</v>
      </c>
    </row>
    <row r="265" spans="1:10" x14ac:dyDescent="0.4">
      <c r="A265" s="2" t="s">
        <v>3450</v>
      </c>
      <c r="B265" s="2" t="s">
        <v>1182</v>
      </c>
      <c r="C265" s="2" t="s">
        <v>3184</v>
      </c>
      <c r="D265" s="2"/>
      <c r="E265" s="2" t="s">
        <v>3198</v>
      </c>
      <c r="F265">
        <f t="shared" si="20"/>
        <v>12999</v>
      </c>
      <c r="G265" t="str">
        <f t="shared" si="21"/>
        <v>Yes</v>
      </c>
      <c r="H265" t="str">
        <f t="shared" si="22"/>
        <v>Missing Price</v>
      </c>
      <c r="I265" t="str">
        <f t="shared" si="23"/>
        <v>Lenovo Keyboard</v>
      </c>
      <c r="J265" t="str">
        <f t="shared" si="24"/>
        <v>Unique</v>
      </c>
    </row>
    <row r="266" spans="1:10" x14ac:dyDescent="0.4">
      <c r="A266" s="2" t="s">
        <v>3451</v>
      </c>
      <c r="B266" s="2" t="s">
        <v>1175</v>
      </c>
      <c r="C266" s="2" t="s">
        <v>3189</v>
      </c>
      <c r="D266" s="2">
        <v>15999</v>
      </c>
      <c r="E266" s="2" t="s">
        <v>3182</v>
      </c>
      <c r="F266">
        <f t="shared" si="20"/>
        <v>15999</v>
      </c>
      <c r="G266" t="str">
        <f t="shared" si="21"/>
        <v>No</v>
      </c>
      <c r="H266" t="str">
        <f t="shared" si="22"/>
        <v>No</v>
      </c>
      <c r="I266" t="str">
        <f t="shared" si="23"/>
        <v>Hp Laptop</v>
      </c>
      <c r="J266" t="str">
        <f t="shared" si="24"/>
        <v>Unique</v>
      </c>
    </row>
    <row r="267" spans="1:10" x14ac:dyDescent="0.4">
      <c r="A267" s="2" t="s">
        <v>3452</v>
      </c>
      <c r="B267" s="2" t="s">
        <v>1173</v>
      </c>
      <c r="C267" s="2" t="s">
        <v>3181</v>
      </c>
      <c r="D267" s="2">
        <v>7999</v>
      </c>
      <c r="E267" s="2" t="s">
        <v>3185</v>
      </c>
      <c r="F267">
        <f t="shared" si="20"/>
        <v>7999</v>
      </c>
      <c r="G267" t="str">
        <f t="shared" si="21"/>
        <v>Yes</v>
      </c>
      <c r="H267" t="str">
        <f t="shared" si="22"/>
        <v>No</v>
      </c>
      <c r="I267" t="str">
        <f t="shared" si="23"/>
        <v>Dell Monitor</v>
      </c>
      <c r="J267" t="str">
        <f t="shared" si="24"/>
        <v>Unique</v>
      </c>
    </row>
    <row r="268" spans="1:10" x14ac:dyDescent="0.4">
      <c r="A268" s="2" t="s">
        <v>3453</v>
      </c>
      <c r="B268" s="2" t="s">
        <v>1173</v>
      </c>
      <c r="C268" s="2" t="s">
        <v>3189</v>
      </c>
      <c r="D268" s="2">
        <v>19999</v>
      </c>
      <c r="E268" s="2" t="s">
        <v>3185</v>
      </c>
      <c r="F268">
        <f t="shared" si="20"/>
        <v>19999</v>
      </c>
      <c r="G268" t="str">
        <f t="shared" si="21"/>
        <v>Yes</v>
      </c>
      <c r="H268" t="str">
        <f t="shared" si="22"/>
        <v>No</v>
      </c>
      <c r="I268" t="str">
        <f t="shared" si="23"/>
        <v>Dell Monitor</v>
      </c>
      <c r="J268" t="str">
        <f t="shared" si="24"/>
        <v>Unique</v>
      </c>
    </row>
    <row r="269" spans="1:10" x14ac:dyDescent="0.4">
      <c r="A269" s="2" t="s">
        <v>3454</v>
      </c>
      <c r="B269" s="2" t="s">
        <v>1171</v>
      </c>
      <c r="C269" s="2" t="s">
        <v>3184</v>
      </c>
      <c r="D269" s="2">
        <v>4999</v>
      </c>
      <c r="E269" s="2" t="s">
        <v>3198</v>
      </c>
      <c r="F269">
        <f t="shared" si="20"/>
        <v>4999</v>
      </c>
      <c r="G269" t="str">
        <f t="shared" si="21"/>
        <v>Yes</v>
      </c>
      <c r="H269" t="str">
        <f t="shared" si="22"/>
        <v>No</v>
      </c>
      <c r="I269" t="str">
        <f t="shared" si="23"/>
        <v>Asus Mouse</v>
      </c>
      <c r="J269" t="str">
        <f t="shared" si="24"/>
        <v>Unique</v>
      </c>
    </row>
    <row r="270" spans="1:10" x14ac:dyDescent="0.4">
      <c r="A270" s="2" t="s">
        <v>3455</v>
      </c>
      <c r="B270" s="2" t="s">
        <v>1175</v>
      </c>
      <c r="C270" s="2" t="s">
        <v>3187</v>
      </c>
      <c r="D270" s="2">
        <v>7999</v>
      </c>
      <c r="E270" s="2"/>
      <c r="F270">
        <f t="shared" si="20"/>
        <v>7999</v>
      </c>
      <c r="G270" t="str">
        <f t="shared" si="21"/>
        <v/>
      </c>
      <c r="H270" t="str">
        <f t="shared" si="22"/>
        <v>No</v>
      </c>
      <c r="I270" t="str">
        <f t="shared" si="23"/>
        <v>Hp Laptop</v>
      </c>
      <c r="J270" t="str">
        <f t="shared" si="24"/>
        <v>Unique</v>
      </c>
    </row>
    <row r="271" spans="1:10" x14ac:dyDescent="0.4">
      <c r="A271" s="2" t="s">
        <v>3456</v>
      </c>
      <c r="B271" s="2" t="s">
        <v>1180</v>
      </c>
      <c r="C271" s="2" t="s">
        <v>3181</v>
      </c>
      <c r="D271" s="2">
        <v>4999</v>
      </c>
      <c r="E271" s="2" t="s">
        <v>3185</v>
      </c>
      <c r="F271">
        <f t="shared" si="20"/>
        <v>4999</v>
      </c>
      <c r="G271" t="str">
        <f t="shared" si="21"/>
        <v>Yes</v>
      </c>
      <c r="H271" t="str">
        <f t="shared" si="22"/>
        <v>No</v>
      </c>
      <c r="I271" t="str">
        <f t="shared" si="23"/>
        <v>Canon Printer</v>
      </c>
      <c r="J271" t="str">
        <f t="shared" si="24"/>
        <v>Unique</v>
      </c>
    </row>
    <row r="272" spans="1:10" x14ac:dyDescent="0.4">
      <c r="A272" s="2" t="s">
        <v>3457</v>
      </c>
      <c r="B272" s="2" t="s">
        <v>1187</v>
      </c>
      <c r="C272" s="2" t="s">
        <v>3187</v>
      </c>
      <c r="D272" s="2">
        <v>4999</v>
      </c>
      <c r="E272" s="2" t="s">
        <v>3185</v>
      </c>
      <c r="F272">
        <f t="shared" si="20"/>
        <v>4999</v>
      </c>
      <c r="G272" t="str">
        <f t="shared" si="21"/>
        <v>Yes</v>
      </c>
      <c r="H272" t="str">
        <f t="shared" si="22"/>
        <v>No</v>
      </c>
      <c r="I272" t="str">
        <f t="shared" si="23"/>
        <v>Apple Ipad</v>
      </c>
      <c r="J272" t="str">
        <f t="shared" si="24"/>
        <v>Unique</v>
      </c>
    </row>
    <row r="273" spans="1:10" x14ac:dyDescent="0.4">
      <c r="A273" s="2" t="s">
        <v>3458</v>
      </c>
      <c r="B273" s="2" t="s">
        <v>1182</v>
      </c>
      <c r="C273" s="2" t="s">
        <v>3184</v>
      </c>
      <c r="D273" s="2">
        <v>7999</v>
      </c>
      <c r="E273" s="2" t="s">
        <v>3198</v>
      </c>
      <c r="F273">
        <f t="shared" si="20"/>
        <v>7999</v>
      </c>
      <c r="G273" t="str">
        <f t="shared" si="21"/>
        <v>Yes</v>
      </c>
      <c r="H273" t="str">
        <f t="shared" si="22"/>
        <v>No</v>
      </c>
      <c r="I273" t="str">
        <f t="shared" si="23"/>
        <v>Lenovo Keyboard</v>
      </c>
      <c r="J273" t="str">
        <f t="shared" si="24"/>
        <v>Unique</v>
      </c>
    </row>
    <row r="274" spans="1:10" x14ac:dyDescent="0.4">
      <c r="A274" s="2" t="s">
        <v>3459</v>
      </c>
      <c r="B274" s="2" t="s">
        <v>1180</v>
      </c>
      <c r="C274" s="2" t="s">
        <v>3181</v>
      </c>
      <c r="D274" s="2">
        <v>7999</v>
      </c>
      <c r="E274" s="2" t="s">
        <v>3198</v>
      </c>
      <c r="F274">
        <f t="shared" si="20"/>
        <v>7999</v>
      </c>
      <c r="G274" t="str">
        <f t="shared" si="21"/>
        <v>Yes</v>
      </c>
      <c r="H274" t="str">
        <f t="shared" si="22"/>
        <v>No</v>
      </c>
      <c r="I274" t="str">
        <f t="shared" si="23"/>
        <v>Canon Printer</v>
      </c>
      <c r="J274" t="str">
        <f t="shared" si="24"/>
        <v>Unique</v>
      </c>
    </row>
    <row r="275" spans="1:10" x14ac:dyDescent="0.4">
      <c r="A275" s="2" t="s">
        <v>3460</v>
      </c>
      <c r="B275" s="2" t="s">
        <v>1175</v>
      </c>
      <c r="C275" s="2" t="s">
        <v>3189</v>
      </c>
      <c r="D275" s="2">
        <v>15999</v>
      </c>
      <c r="E275" s="2"/>
      <c r="F275">
        <f t="shared" si="20"/>
        <v>15999</v>
      </c>
      <c r="G275" t="str">
        <f t="shared" si="21"/>
        <v/>
      </c>
      <c r="H275" t="str">
        <f t="shared" si="22"/>
        <v>No</v>
      </c>
      <c r="I275" t="str">
        <f t="shared" si="23"/>
        <v>Hp Laptop</v>
      </c>
      <c r="J275" t="str">
        <f t="shared" si="24"/>
        <v>Unique</v>
      </c>
    </row>
    <row r="276" spans="1:10" x14ac:dyDescent="0.4">
      <c r="A276" s="2" t="s">
        <v>3461</v>
      </c>
      <c r="B276" s="2" t="s">
        <v>1175</v>
      </c>
      <c r="C276" s="2" t="s">
        <v>3189</v>
      </c>
      <c r="D276" s="2">
        <v>7999</v>
      </c>
      <c r="E276" s="2" t="s">
        <v>3198</v>
      </c>
      <c r="F276">
        <f t="shared" si="20"/>
        <v>7999</v>
      </c>
      <c r="G276" t="str">
        <f t="shared" si="21"/>
        <v>Yes</v>
      </c>
      <c r="H276" t="str">
        <f t="shared" si="22"/>
        <v>No</v>
      </c>
      <c r="I276" t="str">
        <f t="shared" si="23"/>
        <v>Hp Laptop</v>
      </c>
      <c r="J276" t="str">
        <f t="shared" si="24"/>
        <v>Unique</v>
      </c>
    </row>
    <row r="277" spans="1:10" x14ac:dyDescent="0.4">
      <c r="A277" s="2" t="s">
        <v>3462</v>
      </c>
      <c r="B277" s="2" t="s">
        <v>1182</v>
      </c>
      <c r="C277" s="2"/>
      <c r="D277" s="2">
        <v>12999</v>
      </c>
      <c r="E277" s="2"/>
      <c r="F277">
        <f t="shared" si="20"/>
        <v>12999</v>
      </c>
      <c r="G277" t="str">
        <f t="shared" si="21"/>
        <v/>
      </c>
      <c r="H277" t="str">
        <f t="shared" si="22"/>
        <v>No</v>
      </c>
      <c r="I277" t="str">
        <f t="shared" si="23"/>
        <v>Lenovo Keyboard</v>
      </c>
      <c r="J277" t="str">
        <f t="shared" si="24"/>
        <v>Unique</v>
      </c>
    </row>
    <row r="278" spans="1:10" x14ac:dyDescent="0.4">
      <c r="A278" s="2" t="s">
        <v>3463</v>
      </c>
      <c r="B278" s="2" t="s">
        <v>1180</v>
      </c>
      <c r="C278" s="2" t="s">
        <v>3189</v>
      </c>
      <c r="D278" s="2">
        <v>19999</v>
      </c>
      <c r="E278" s="2" t="s">
        <v>3198</v>
      </c>
      <c r="F278">
        <f t="shared" si="20"/>
        <v>19999</v>
      </c>
      <c r="G278" t="str">
        <f t="shared" si="21"/>
        <v>Yes</v>
      </c>
      <c r="H278" t="str">
        <f t="shared" si="22"/>
        <v>No</v>
      </c>
      <c r="I278" t="str">
        <f t="shared" si="23"/>
        <v>Canon Printer</v>
      </c>
      <c r="J278" t="str">
        <f t="shared" si="24"/>
        <v>Unique</v>
      </c>
    </row>
    <row r="279" spans="1:10" x14ac:dyDescent="0.4">
      <c r="A279" s="2" t="s">
        <v>3464</v>
      </c>
      <c r="B279" s="2" t="s">
        <v>1173</v>
      </c>
      <c r="C279" s="2" t="s">
        <v>3181</v>
      </c>
      <c r="D279" s="2"/>
      <c r="E279" s="2" t="s">
        <v>3185</v>
      </c>
      <c r="F279">
        <f t="shared" si="20"/>
        <v>12999</v>
      </c>
      <c r="G279" t="str">
        <f t="shared" si="21"/>
        <v>Yes</v>
      </c>
      <c r="H279" t="str">
        <f t="shared" si="22"/>
        <v>Missing Price</v>
      </c>
      <c r="I279" t="str">
        <f t="shared" si="23"/>
        <v>Dell Monitor</v>
      </c>
      <c r="J279" t="str">
        <f t="shared" si="24"/>
        <v>Unique</v>
      </c>
    </row>
    <row r="280" spans="1:10" x14ac:dyDescent="0.4">
      <c r="A280" s="2" t="s">
        <v>3465</v>
      </c>
      <c r="B280" s="2" t="s">
        <v>1180</v>
      </c>
      <c r="C280" s="2" t="s">
        <v>3181</v>
      </c>
      <c r="D280" s="2">
        <v>7999</v>
      </c>
      <c r="E280" s="2" t="s">
        <v>3198</v>
      </c>
      <c r="F280">
        <f t="shared" si="20"/>
        <v>7999</v>
      </c>
      <c r="G280" t="str">
        <f t="shared" si="21"/>
        <v>Yes</v>
      </c>
      <c r="H280" t="str">
        <f t="shared" si="22"/>
        <v>No</v>
      </c>
      <c r="I280" t="str">
        <f t="shared" si="23"/>
        <v>Canon Printer</v>
      </c>
      <c r="J280" t="str">
        <f t="shared" si="24"/>
        <v>Unique</v>
      </c>
    </row>
    <row r="281" spans="1:10" x14ac:dyDescent="0.4">
      <c r="A281" s="2" t="s">
        <v>3466</v>
      </c>
      <c r="B281" s="2" t="s">
        <v>1187</v>
      </c>
      <c r="C281" s="2"/>
      <c r="D281" s="2">
        <v>4999</v>
      </c>
      <c r="E281" s="2" t="s">
        <v>3182</v>
      </c>
      <c r="F281">
        <f t="shared" si="20"/>
        <v>4999</v>
      </c>
      <c r="G281" t="str">
        <f t="shared" si="21"/>
        <v>No</v>
      </c>
      <c r="H281" t="str">
        <f t="shared" si="22"/>
        <v>No</v>
      </c>
      <c r="I281" t="str">
        <f t="shared" si="23"/>
        <v>Apple Ipad</v>
      </c>
      <c r="J281" t="str">
        <f t="shared" si="24"/>
        <v>Unique</v>
      </c>
    </row>
    <row r="282" spans="1:10" x14ac:dyDescent="0.4">
      <c r="A282" s="2" t="s">
        <v>3467</v>
      </c>
      <c r="B282" s="2" t="s">
        <v>1175</v>
      </c>
      <c r="C282" s="2" t="s">
        <v>3189</v>
      </c>
      <c r="D282" s="2">
        <v>4999</v>
      </c>
      <c r="E282" s="2" t="s">
        <v>3185</v>
      </c>
      <c r="F282">
        <f t="shared" si="20"/>
        <v>4999</v>
      </c>
      <c r="G282" t="str">
        <f t="shared" si="21"/>
        <v>Yes</v>
      </c>
      <c r="H282" t="str">
        <f t="shared" si="22"/>
        <v>No</v>
      </c>
      <c r="I282" t="str">
        <f t="shared" si="23"/>
        <v>Hp Laptop</v>
      </c>
      <c r="J282" t="str">
        <f t="shared" si="24"/>
        <v>Unique</v>
      </c>
    </row>
    <row r="283" spans="1:10" x14ac:dyDescent="0.4">
      <c r="A283" s="2" t="s">
        <v>3468</v>
      </c>
      <c r="B283" s="2" t="s">
        <v>1173</v>
      </c>
      <c r="C283" s="2" t="s">
        <v>3189</v>
      </c>
      <c r="D283" s="2">
        <v>7999</v>
      </c>
      <c r="E283" s="2" t="s">
        <v>3182</v>
      </c>
      <c r="F283">
        <f t="shared" si="20"/>
        <v>7999</v>
      </c>
      <c r="G283" t="str">
        <f t="shared" si="21"/>
        <v>No</v>
      </c>
      <c r="H283" t="str">
        <f t="shared" si="22"/>
        <v>No</v>
      </c>
      <c r="I283" t="str">
        <f t="shared" si="23"/>
        <v>Dell Monitor</v>
      </c>
      <c r="J283" t="str">
        <f t="shared" si="24"/>
        <v>Unique</v>
      </c>
    </row>
    <row r="284" spans="1:10" x14ac:dyDescent="0.4">
      <c r="A284" s="2" t="s">
        <v>3469</v>
      </c>
      <c r="B284" s="2" t="s">
        <v>1171</v>
      </c>
      <c r="C284" s="2" t="s">
        <v>3187</v>
      </c>
      <c r="D284" s="2"/>
      <c r="E284" s="2" t="s">
        <v>3182</v>
      </c>
      <c r="F284">
        <f t="shared" si="20"/>
        <v>12999</v>
      </c>
      <c r="G284" t="str">
        <f t="shared" si="21"/>
        <v>No</v>
      </c>
      <c r="H284" t="str">
        <f t="shared" si="22"/>
        <v>Missing Price</v>
      </c>
      <c r="I284" t="str">
        <f t="shared" si="23"/>
        <v>Asus Mouse</v>
      </c>
      <c r="J284" t="str">
        <f t="shared" si="24"/>
        <v>Unique</v>
      </c>
    </row>
    <row r="285" spans="1:10" x14ac:dyDescent="0.4">
      <c r="A285" s="2" t="s">
        <v>3470</v>
      </c>
      <c r="B285" s="2" t="s">
        <v>1173</v>
      </c>
      <c r="C285" s="2"/>
      <c r="D285" s="2"/>
      <c r="E285" s="2" t="s">
        <v>3198</v>
      </c>
      <c r="F285">
        <f t="shared" si="20"/>
        <v>12999</v>
      </c>
      <c r="G285" t="str">
        <f t="shared" si="21"/>
        <v>Yes</v>
      </c>
      <c r="H285" t="str">
        <f t="shared" si="22"/>
        <v>Missing Price</v>
      </c>
      <c r="I285" t="str">
        <f t="shared" si="23"/>
        <v>Dell Monitor</v>
      </c>
      <c r="J285" t="str">
        <f t="shared" si="24"/>
        <v>Unique</v>
      </c>
    </row>
    <row r="286" spans="1:10" x14ac:dyDescent="0.4">
      <c r="A286" s="2" t="s">
        <v>3471</v>
      </c>
      <c r="B286" s="2" t="s">
        <v>1182</v>
      </c>
      <c r="C286" s="2"/>
      <c r="D286" s="2">
        <v>15999</v>
      </c>
      <c r="E286" s="2" t="s">
        <v>3198</v>
      </c>
      <c r="F286">
        <f t="shared" si="20"/>
        <v>15999</v>
      </c>
      <c r="G286" t="str">
        <f t="shared" si="21"/>
        <v>Yes</v>
      </c>
      <c r="H286" t="str">
        <f t="shared" si="22"/>
        <v>No</v>
      </c>
      <c r="I286" t="str">
        <f t="shared" si="23"/>
        <v>Lenovo Keyboard</v>
      </c>
      <c r="J286" t="str">
        <f t="shared" si="24"/>
        <v>Unique</v>
      </c>
    </row>
    <row r="287" spans="1:10" x14ac:dyDescent="0.4">
      <c r="A287" s="2" t="s">
        <v>3472</v>
      </c>
      <c r="B287" s="2" t="s">
        <v>1187</v>
      </c>
      <c r="C287" s="2" t="s">
        <v>3181</v>
      </c>
      <c r="D287" s="2">
        <v>15999</v>
      </c>
      <c r="E287" s="2" t="s">
        <v>3182</v>
      </c>
      <c r="F287">
        <f t="shared" si="20"/>
        <v>15999</v>
      </c>
      <c r="G287" t="str">
        <f t="shared" si="21"/>
        <v>No</v>
      </c>
      <c r="H287" t="str">
        <f t="shared" si="22"/>
        <v>No</v>
      </c>
      <c r="I287" t="str">
        <f t="shared" si="23"/>
        <v>Apple Ipad</v>
      </c>
      <c r="J287" t="str">
        <f t="shared" si="24"/>
        <v>Unique</v>
      </c>
    </row>
    <row r="288" spans="1:10" x14ac:dyDescent="0.4">
      <c r="A288" s="2" t="s">
        <v>3473</v>
      </c>
      <c r="B288" s="2" t="s">
        <v>1180</v>
      </c>
      <c r="C288" s="2" t="s">
        <v>3189</v>
      </c>
      <c r="D288" s="2">
        <v>15999</v>
      </c>
      <c r="E288" s="2" t="s">
        <v>3185</v>
      </c>
      <c r="F288">
        <f t="shared" si="20"/>
        <v>15999</v>
      </c>
      <c r="G288" t="str">
        <f t="shared" si="21"/>
        <v>Yes</v>
      </c>
      <c r="H288" t="str">
        <f t="shared" si="22"/>
        <v>No</v>
      </c>
      <c r="I288" t="str">
        <f t="shared" si="23"/>
        <v>Canon Printer</v>
      </c>
      <c r="J288" t="str">
        <f t="shared" si="24"/>
        <v>Unique</v>
      </c>
    </row>
    <row r="289" spans="1:10" x14ac:dyDescent="0.4">
      <c r="A289" s="2" t="s">
        <v>3474</v>
      </c>
      <c r="B289" s="2" t="s">
        <v>1182</v>
      </c>
      <c r="C289" s="2" t="s">
        <v>3184</v>
      </c>
      <c r="D289" s="2"/>
      <c r="E289" s="2" t="s">
        <v>3198</v>
      </c>
      <c r="F289">
        <f t="shared" si="20"/>
        <v>12999</v>
      </c>
      <c r="G289" t="str">
        <f t="shared" si="21"/>
        <v>Yes</v>
      </c>
      <c r="H289" t="str">
        <f t="shared" si="22"/>
        <v>Missing Price</v>
      </c>
      <c r="I289" t="str">
        <f t="shared" si="23"/>
        <v>Lenovo Keyboard</v>
      </c>
      <c r="J289" t="str">
        <f t="shared" si="24"/>
        <v>Unique</v>
      </c>
    </row>
    <row r="290" spans="1:10" x14ac:dyDescent="0.4">
      <c r="A290" s="2" t="s">
        <v>3475</v>
      </c>
      <c r="B290" s="2" t="s">
        <v>1171</v>
      </c>
      <c r="C290" s="2" t="s">
        <v>3189</v>
      </c>
      <c r="D290" s="2">
        <v>4999</v>
      </c>
      <c r="E290" s="2" t="s">
        <v>3185</v>
      </c>
      <c r="F290">
        <f t="shared" si="20"/>
        <v>4999</v>
      </c>
      <c r="G290" t="str">
        <f t="shared" si="21"/>
        <v>Yes</v>
      </c>
      <c r="H290" t="str">
        <f t="shared" si="22"/>
        <v>No</v>
      </c>
      <c r="I290" t="str">
        <f t="shared" si="23"/>
        <v>Asus Mouse</v>
      </c>
      <c r="J290" t="str">
        <f t="shared" si="24"/>
        <v>Unique</v>
      </c>
    </row>
    <row r="291" spans="1:10" x14ac:dyDescent="0.4">
      <c r="A291" s="2" t="s">
        <v>3476</v>
      </c>
      <c r="B291" s="2" t="s">
        <v>1180</v>
      </c>
      <c r="C291" s="2"/>
      <c r="D291" s="2">
        <v>15999</v>
      </c>
      <c r="E291" s="2" t="s">
        <v>3198</v>
      </c>
      <c r="F291">
        <f t="shared" si="20"/>
        <v>15999</v>
      </c>
      <c r="G291" t="str">
        <f t="shared" si="21"/>
        <v>Yes</v>
      </c>
      <c r="H291" t="str">
        <f t="shared" si="22"/>
        <v>No</v>
      </c>
      <c r="I291" t="str">
        <f t="shared" si="23"/>
        <v>Canon Printer</v>
      </c>
      <c r="J291" t="str">
        <f t="shared" si="24"/>
        <v>Unique</v>
      </c>
    </row>
    <row r="292" spans="1:10" x14ac:dyDescent="0.4">
      <c r="A292" s="2" t="s">
        <v>3477</v>
      </c>
      <c r="B292" s="2" t="s">
        <v>1173</v>
      </c>
      <c r="C292" s="2" t="s">
        <v>3181</v>
      </c>
      <c r="D292" s="2">
        <v>7999</v>
      </c>
      <c r="E292" s="2" t="s">
        <v>3182</v>
      </c>
      <c r="F292">
        <f t="shared" si="20"/>
        <v>7999</v>
      </c>
      <c r="G292" t="str">
        <f t="shared" si="21"/>
        <v>No</v>
      </c>
      <c r="H292" t="str">
        <f t="shared" si="22"/>
        <v>No</v>
      </c>
      <c r="I292" t="str">
        <f t="shared" si="23"/>
        <v>Dell Monitor</v>
      </c>
      <c r="J292" t="str">
        <f t="shared" si="24"/>
        <v>Unique</v>
      </c>
    </row>
    <row r="293" spans="1:10" x14ac:dyDescent="0.4">
      <c r="A293" s="2" t="s">
        <v>3478</v>
      </c>
      <c r="B293" s="2" t="s">
        <v>1175</v>
      </c>
      <c r="C293" s="2" t="s">
        <v>3189</v>
      </c>
      <c r="D293" s="2">
        <v>15999</v>
      </c>
      <c r="E293" s="2" t="s">
        <v>3182</v>
      </c>
      <c r="F293">
        <f t="shared" si="20"/>
        <v>15999</v>
      </c>
      <c r="G293" t="str">
        <f t="shared" si="21"/>
        <v>No</v>
      </c>
      <c r="H293" t="str">
        <f t="shared" si="22"/>
        <v>No</v>
      </c>
      <c r="I293" t="str">
        <f t="shared" si="23"/>
        <v>Hp Laptop</v>
      </c>
      <c r="J293" t="str">
        <f t="shared" si="24"/>
        <v>Unique</v>
      </c>
    </row>
    <row r="294" spans="1:10" x14ac:dyDescent="0.4">
      <c r="A294" s="2" t="s">
        <v>3479</v>
      </c>
      <c r="B294" s="2" t="s">
        <v>1180</v>
      </c>
      <c r="C294" s="2" t="s">
        <v>3187</v>
      </c>
      <c r="D294" s="2">
        <v>7999</v>
      </c>
      <c r="E294" s="2" t="s">
        <v>3198</v>
      </c>
      <c r="F294">
        <f t="shared" si="20"/>
        <v>7999</v>
      </c>
      <c r="G294" t="str">
        <f t="shared" si="21"/>
        <v>Yes</v>
      </c>
      <c r="H294" t="str">
        <f t="shared" si="22"/>
        <v>No</v>
      </c>
      <c r="I294" t="str">
        <f t="shared" si="23"/>
        <v>Canon Printer</v>
      </c>
      <c r="J294" t="str">
        <f t="shared" si="24"/>
        <v>Unique</v>
      </c>
    </row>
    <row r="295" spans="1:10" x14ac:dyDescent="0.4">
      <c r="A295" s="2" t="s">
        <v>3480</v>
      </c>
      <c r="B295" s="2" t="s">
        <v>1171</v>
      </c>
      <c r="C295" s="2" t="s">
        <v>3181</v>
      </c>
      <c r="D295" s="2">
        <v>7999</v>
      </c>
      <c r="E295" s="2" t="s">
        <v>3182</v>
      </c>
      <c r="F295">
        <f t="shared" si="20"/>
        <v>7999</v>
      </c>
      <c r="G295" t="str">
        <f t="shared" si="21"/>
        <v>No</v>
      </c>
      <c r="H295" t="str">
        <f t="shared" si="22"/>
        <v>No</v>
      </c>
      <c r="I295" t="str">
        <f t="shared" si="23"/>
        <v>Asus Mouse</v>
      </c>
      <c r="J295" t="str">
        <f t="shared" si="24"/>
        <v>Unique</v>
      </c>
    </row>
    <row r="296" spans="1:10" x14ac:dyDescent="0.4">
      <c r="A296" s="2" t="s">
        <v>3481</v>
      </c>
      <c r="B296" s="2" t="s">
        <v>1182</v>
      </c>
      <c r="C296" s="2" t="s">
        <v>3181</v>
      </c>
      <c r="D296" s="2">
        <v>4999</v>
      </c>
      <c r="E296" s="2" t="s">
        <v>3198</v>
      </c>
      <c r="F296">
        <f t="shared" si="20"/>
        <v>4999</v>
      </c>
      <c r="G296" t="str">
        <f t="shared" si="21"/>
        <v>Yes</v>
      </c>
      <c r="H296" t="str">
        <f t="shared" si="22"/>
        <v>No</v>
      </c>
      <c r="I296" t="str">
        <f t="shared" si="23"/>
        <v>Lenovo Keyboard</v>
      </c>
      <c r="J296" t="str">
        <f t="shared" si="24"/>
        <v>Unique</v>
      </c>
    </row>
    <row r="297" spans="1:10" x14ac:dyDescent="0.4">
      <c r="A297" s="2" t="s">
        <v>3482</v>
      </c>
      <c r="B297" s="2" t="s">
        <v>1180</v>
      </c>
      <c r="C297" s="2" t="s">
        <v>3181</v>
      </c>
      <c r="D297" s="2">
        <v>19999</v>
      </c>
      <c r="E297" s="2"/>
      <c r="F297">
        <f t="shared" si="20"/>
        <v>19999</v>
      </c>
      <c r="G297" t="str">
        <f t="shared" si="21"/>
        <v/>
      </c>
      <c r="H297" t="str">
        <f t="shared" si="22"/>
        <v>No</v>
      </c>
      <c r="I297" t="str">
        <f t="shared" si="23"/>
        <v>Canon Printer</v>
      </c>
      <c r="J297" t="str">
        <f t="shared" si="24"/>
        <v>Unique</v>
      </c>
    </row>
    <row r="298" spans="1:10" x14ac:dyDescent="0.4">
      <c r="A298" s="2" t="s">
        <v>3483</v>
      </c>
      <c r="B298" s="2" t="s">
        <v>1173</v>
      </c>
      <c r="C298" s="2"/>
      <c r="D298" s="2">
        <v>7999</v>
      </c>
      <c r="E298" s="2" t="s">
        <v>3198</v>
      </c>
      <c r="F298">
        <f t="shared" si="20"/>
        <v>7999</v>
      </c>
      <c r="G298" t="str">
        <f t="shared" si="21"/>
        <v>Yes</v>
      </c>
      <c r="H298" t="str">
        <f t="shared" si="22"/>
        <v>No</v>
      </c>
      <c r="I298" t="str">
        <f t="shared" si="23"/>
        <v>Dell Monitor</v>
      </c>
      <c r="J298" t="str">
        <f t="shared" si="24"/>
        <v>Unique</v>
      </c>
    </row>
    <row r="299" spans="1:10" x14ac:dyDescent="0.4">
      <c r="A299" s="2" t="s">
        <v>3484</v>
      </c>
      <c r="B299" s="2" t="s">
        <v>1182</v>
      </c>
      <c r="C299" s="2" t="s">
        <v>3181</v>
      </c>
      <c r="D299" s="2">
        <v>15999</v>
      </c>
      <c r="E299" s="2" t="s">
        <v>3185</v>
      </c>
      <c r="F299">
        <f t="shared" si="20"/>
        <v>15999</v>
      </c>
      <c r="G299" t="str">
        <f t="shared" si="21"/>
        <v>Yes</v>
      </c>
      <c r="H299" t="str">
        <f t="shared" si="22"/>
        <v>No</v>
      </c>
      <c r="I299" t="str">
        <f t="shared" si="23"/>
        <v>Lenovo Keyboard</v>
      </c>
      <c r="J299" t="str">
        <f t="shared" si="24"/>
        <v>Unique</v>
      </c>
    </row>
    <row r="300" spans="1:10" x14ac:dyDescent="0.4">
      <c r="A300" s="2" t="s">
        <v>3485</v>
      </c>
      <c r="B300" s="2" t="s">
        <v>1175</v>
      </c>
      <c r="C300" s="2" t="s">
        <v>3189</v>
      </c>
      <c r="D300" s="2">
        <v>4999</v>
      </c>
      <c r="E300" s="2" t="s">
        <v>3182</v>
      </c>
      <c r="F300">
        <f t="shared" si="20"/>
        <v>4999</v>
      </c>
      <c r="G300" t="str">
        <f t="shared" si="21"/>
        <v>No</v>
      </c>
      <c r="H300" t="str">
        <f t="shared" si="22"/>
        <v>No</v>
      </c>
      <c r="I300" t="str">
        <f t="shared" si="23"/>
        <v>Hp Laptop</v>
      </c>
      <c r="J300" t="str">
        <f t="shared" si="24"/>
        <v>Unique</v>
      </c>
    </row>
    <row r="301" spans="1:10" x14ac:dyDescent="0.4">
      <c r="A301" s="2" t="s">
        <v>3486</v>
      </c>
      <c r="B301" s="2" t="s">
        <v>1171</v>
      </c>
      <c r="C301" s="2" t="s">
        <v>3187</v>
      </c>
      <c r="D301" s="2">
        <v>4999</v>
      </c>
      <c r="E301" s="2" t="s">
        <v>3198</v>
      </c>
      <c r="F301">
        <f t="shared" si="20"/>
        <v>4999</v>
      </c>
      <c r="G301" t="str">
        <f t="shared" si="21"/>
        <v>Yes</v>
      </c>
      <c r="H301" t="str">
        <f t="shared" si="22"/>
        <v>No</v>
      </c>
      <c r="I301" t="str">
        <f t="shared" si="23"/>
        <v>Asus Mouse</v>
      </c>
      <c r="J301" t="str">
        <f t="shared" si="24"/>
        <v>Unique</v>
      </c>
    </row>
    <row r="302" spans="1:10" x14ac:dyDescent="0.4">
      <c r="A302" s="2" t="s">
        <v>3487</v>
      </c>
      <c r="B302" s="2" t="s">
        <v>1180</v>
      </c>
      <c r="C302" s="2" t="s">
        <v>3189</v>
      </c>
      <c r="D302" s="2"/>
      <c r="E302" s="2" t="s">
        <v>3198</v>
      </c>
      <c r="F302">
        <f t="shared" si="20"/>
        <v>12999</v>
      </c>
      <c r="G302" t="str">
        <f t="shared" si="21"/>
        <v>Yes</v>
      </c>
      <c r="H302" t="str">
        <f t="shared" si="22"/>
        <v>Missing Price</v>
      </c>
      <c r="I302" t="str">
        <f t="shared" si="23"/>
        <v>Canon Printer</v>
      </c>
      <c r="J302" t="str">
        <f t="shared" si="24"/>
        <v>Unique</v>
      </c>
    </row>
    <row r="303" spans="1:10" x14ac:dyDescent="0.4">
      <c r="A303" s="2" t="s">
        <v>3488</v>
      </c>
      <c r="B303" s="2" t="s">
        <v>1171</v>
      </c>
      <c r="C303" s="2"/>
      <c r="D303" s="2">
        <v>7999</v>
      </c>
      <c r="E303" s="2" t="s">
        <v>3198</v>
      </c>
      <c r="F303">
        <f t="shared" si="20"/>
        <v>7999</v>
      </c>
      <c r="G303" t="str">
        <f t="shared" si="21"/>
        <v>Yes</v>
      </c>
      <c r="H303" t="str">
        <f t="shared" si="22"/>
        <v>No</v>
      </c>
      <c r="I303" t="str">
        <f t="shared" si="23"/>
        <v>Asus Mouse</v>
      </c>
      <c r="J303" t="str">
        <f t="shared" si="24"/>
        <v>Unique</v>
      </c>
    </row>
    <row r="304" spans="1:10" x14ac:dyDescent="0.4">
      <c r="A304" s="2" t="s">
        <v>3489</v>
      </c>
      <c r="B304" s="2" t="s">
        <v>1187</v>
      </c>
      <c r="C304" s="2" t="s">
        <v>3181</v>
      </c>
      <c r="D304" s="2">
        <v>15999</v>
      </c>
      <c r="E304" s="2" t="s">
        <v>3185</v>
      </c>
      <c r="F304">
        <f t="shared" si="20"/>
        <v>15999</v>
      </c>
      <c r="G304" t="str">
        <f t="shared" si="21"/>
        <v>Yes</v>
      </c>
      <c r="H304" t="str">
        <f t="shared" si="22"/>
        <v>No</v>
      </c>
      <c r="I304" t="str">
        <f t="shared" si="23"/>
        <v>Apple Ipad</v>
      </c>
      <c r="J304" t="str">
        <f t="shared" si="24"/>
        <v>Unique</v>
      </c>
    </row>
    <row r="305" spans="1:10" x14ac:dyDescent="0.4">
      <c r="A305" s="2" t="s">
        <v>3490</v>
      </c>
      <c r="B305" s="2" t="s">
        <v>1182</v>
      </c>
      <c r="C305" s="2" t="s">
        <v>3187</v>
      </c>
      <c r="D305" s="2">
        <v>7999</v>
      </c>
      <c r="E305" s="2" t="s">
        <v>3182</v>
      </c>
      <c r="F305">
        <f t="shared" si="20"/>
        <v>7999</v>
      </c>
      <c r="G305" t="str">
        <f t="shared" si="21"/>
        <v>No</v>
      </c>
      <c r="H305" t="str">
        <f t="shared" si="22"/>
        <v>No</v>
      </c>
      <c r="I305" t="str">
        <f t="shared" si="23"/>
        <v>Lenovo Keyboard</v>
      </c>
      <c r="J305" t="str">
        <f t="shared" si="24"/>
        <v>Unique</v>
      </c>
    </row>
    <row r="306" spans="1:10" x14ac:dyDescent="0.4">
      <c r="A306" s="2" t="s">
        <v>3491</v>
      </c>
      <c r="B306" s="2" t="s">
        <v>1187</v>
      </c>
      <c r="C306" s="2" t="s">
        <v>3184</v>
      </c>
      <c r="D306" s="2">
        <v>15999</v>
      </c>
      <c r="E306" s="2" t="s">
        <v>3198</v>
      </c>
      <c r="F306">
        <f t="shared" si="20"/>
        <v>15999</v>
      </c>
      <c r="G306" t="str">
        <f t="shared" si="21"/>
        <v>Yes</v>
      </c>
      <c r="H306" t="str">
        <f t="shared" si="22"/>
        <v>No</v>
      </c>
      <c r="I306" t="str">
        <f t="shared" si="23"/>
        <v>Apple Ipad</v>
      </c>
      <c r="J306" t="str">
        <f t="shared" si="24"/>
        <v>Unique</v>
      </c>
    </row>
    <row r="307" spans="1:10" x14ac:dyDescent="0.4">
      <c r="A307" s="2" t="s">
        <v>3492</v>
      </c>
      <c r="B307" s="2" t="s">
        <v>1180</v>
      </c>
      <c r="C307" s="2" t="s">
        <v>3184</v>
      </c>
      <c r="D307" s="2">
        <v>12999</v>
      </c>
      <c r="E307" s="2" t="s">
        <v>3182</v>
      </c>
      <c r="F307">
        <f t="shared" si="20"/>
        <v>12999</v>
      </c>
      <c r="G307" t="str">
        <f t="shared" si="21"/>
        <v>No</v>
      </c>
      <c r="H307" t="str">
        <f t="shared" si="22"/>
        <v>No</v>
      </c>
      <c r="I307" t="str">
        <f t="shared" si="23"/>
        <v>Canon Printer</v>
      </c>
      <c r="J307" t="str">
        <f t="shared" si="24"/>
        <v>Unique</v>
      </c>
    </row>
    <row r="308" spans="1:10" x14ac:dyDescent="0.4">
      <c r="A308" s="2" t="s">
        <v>3493</v>
      </c>
      <c r="B308" s="2" t="s">
        <v>1171</v>
      </c>
      <c r="C308" s="2" t="s">
        <v>3187</v>
      </c>
      <c r="D308" s="2"/>
      <c r="E308" s="2" t="s">
        <v>3185</v>
      </c>
      <c r="F308">
        <f t="shared" si="20"/>
        <v>12999</v>
      </c>
      <c r="G308" t="str">
        <f t="shared" si="21"/>
        <v>Yes</v>
      </c>
      <c r="H308" t="str">
        <f t="shared" si="22"/>
        <v>Missing Price</v>
      </c>
      <c r="I308" t="str">
        <f t="shared" si="23"/>
        <v>Asus Mouse</v>
      </c>
      <c r="J308" t="str">
        <f t="shared" si="24"/>
        <v>Unique</v>
      </c>
    </row>
    <row r="309" spans="1:10" x14ac:dyDescent="0.4">
      <c r="A309" s="2" t="s">
        <v>3494</v>
      </c>
      <c r="B309" s="2" t="s">
        <v>1173</v>
      </c>
      <c r="C309" s="2" t="s">
        <v>3184</v>
      </c>
      <c r="D309" s="2">
        <v>4999</v>
      </c>
      <c r="E309" s="2"/>
      <c r="F309">
        <f t="shared" si="20"/>
        <v>4999</v>
      </c>
      <c r="G309" t="str">
        <f t="shared" si="21"/>
        <v/>
      </c>
      <c r="H309" t="str">
        <f t="shared" si="22"/>
        <v>No</v>
      </c>
      <c r="I309" t="str">
        <f t="shared" si="23"/>
        <v>Dell Monitor</v>
      </c>
      <c r="J309" t="str">
        <f t="shared" si="24"/>
        <v>Unique</v>
      </c>
    </row>
    <row r="310" spans="1:10" x14ac:dyDescent="0.4">
      <c r="A310" s="2" t="s">
        <v>3495</v>
      </c>
      <c r="B310" s="2" t="s">
        <v>1187</v>
      </c>
      <c r="C310" s="2"/>
      <c r="D310" s="2"/>
      <c r="E310" s="2" t="s">
        <v>3185</v>
      </c>
      <c r="F310">
        <f t="shared" si="20"/>
        <v>12999</v>
      </c>
      <c r="G310" t="str">
        <f t="shared" si="21"/>
        <v>Yes</v>
      </c>
      <c r="H310" t="str">
        <f t="shared" si="22"/>
        <v>Missing Price</v>
      </c>
      <c r="I310" t="str">
        <f t="shared" si="23"/>
        <v>Apple Ipad</v>
      </c>
      <c r="J310" t="str">
        <f t="shared" si="24"/>
        <v>Unique</v>
      </c>
    </row>
    <row r="311" spans="1:10" x14ac:dyDescent="0.4">
      <c r="A311" s="2" t="s">
        <v>3496</v>
      </c>
      <c r="B311" s="2" t="s">
        <v>1173</v>
      </c>
      <c r="C311" s="2"/>
      <c r="D311" s="2">
        <v>12999</v>
      </c>
      <c r="E311" s="2"/>
      <c r="F311">
        <f t="shared" si="20"/>
        <v>12999</v>
      </c>
      <c r="G311" t="str">
        <f t="shared" si="21"/>
        <v/>
      </c>
      <c r="H311" t="str">
        <f t="shared" si="22"/>
        <v>No</v>
      </c>
      <c r="I311" t="str">
        <f t="shared" si="23"/>
        <v>Dell Monitor</v>
      </c>
      <c r="J311" t="str">
        <f t="shared" si="24"/>
        <v>Unique</v>
      </c>
    </row>
    <row r="312" spans="1:10" x14ac:dyDescent="0.4">
      <c r="A312" s="2" t="s">
        <v>3497</v>
      </c>
      <c r="B312" s="2" t="s">
        <v>1187</v>
      </c>
      <c r="C312" s="2"/>
      <c r="D312" s="2">
        <v>19999</v>
      </c>
      <c r="E312" s="2" t="s">
        <v>3198</v>
      </c>
      <c r="F312">
        <f t="shared" si="20"/>
        <v>19999</v>
      </c>
      <c r="G312" t="str">
        <f t="shared" si="21"/>
        <v>Yes</v>
      </c>
      <c r="H312" t="str">
        <f t="shared" si="22"/>
        <v>No</v>
      </c>
      <c r="I312" t="str">
        <f t="shared" si="23"/>
        <v>Apple Ipad</v>
      </c>
      <c r="J312" t="str">
        <f t="shared" si="24"/>
        <v>Unique</v>
      </c>
    </row>
    <row r="313" spans="1:10" x14ac:dyDescent="0.4">
      <c r="A313" s="2" t="s">
        <v>3498</v>
      </c>
      <c r="B313" s="2" t="s">
        <v>1182</v>
      </c>
      <c r="C313" s="2" t="s">
        <v>3187</v>
      </c>
      <c r="D313" s="2"/>
      <c r="E313" s="2" t="s">
        <v>3182</v>
      </c>
      <c r="F313">
        <f t="shared" si="20"/>
        <v>12999</v>
      </c>
      <c r="G313" t="str">
        <f t="shared" si="21"/>
        <v>No</v>
      </c>
      <c r="H313" t="str">
        <f t="shared" si="22"/>
        <v>Missing Price</v>
      </c>
      <c r="I313" t="str">
        <f t="shared" si="23"/>
        <v>Lenovo Keyboard</v>
      </c>
      <c r="J313" t="str">
        <f t="shared" si="24"/>
        <v>Unique</v>
      </c>
    </row>
    <row r="314" spans="1:10" x14ac:dyDescent="0.4">
      <c r="A314" s="2" t="s">
        <v>3499</v>
      </c>
      <c r="B314" s="2" t="s">
        <v>1182</v>
      </c>
      <c r="C314" s="2" t="s">
        <v>3189</v>
      </c>
      <c r="D314" s="2"/>
      <c r="E314" s="2"/>
      <c r="F314">
        <f t="shared" si="20"/>
        <v>12999</v>
      </c>
      <c r="G314" t="str">
        <f t="shared" si="21"/>
        <v/>
      </c>
      <c r="H314" t="str">
        <f t="shared" si="22"/>
        <v>Missing Price</v>
      </c>
      <c r="I314" t="str">
        <f t="shared" si="23"/>
        <v>Lenovo Keyboard</v>
      </c>
      <c r="J314" t="str">
        <f t="shared" si="24"/>
        <v>Unique</v>
      </c>
    </row>
    <row r="315" spans="1:10" x14ac:dyDescent="0.4">
      <c r="A315" s="2" t="s">
        <v>3500</v>
      </c>
      <c r="B315" s="2" t="s">
        <v>1180</v>
      </c>
      <c r="C315" s="2" t="s">
        <v>3189</v>
      </c>
      <c r="D315" s="2">
        <v>12999</v>
      </c>
      <c r="E315" s="2" t="s">
        <v>3182</v>
      </c>
      <c r="F315">
        <f t="shared" si="20"/>
        <v>12999</v>
      </c>
      <c r="G315" t="str">
        <f t="shared" si="21"/>
        <v>No</v>
      </c>
      <c r="H315" t="str">
        <f t="shared" si="22"/>
        <v>No</v>
      </c>
      <c r="I315" t="str">
        <f t="shared" si="23"/>
        <v>Canon Printer</v>
      </c>
      <c r="J315" t="str">
        <f t="shared" si="24"/>
        <v>Unique</v>
      </c>
    </row>
    <row r="316" spans="1:10" x14ac:dyDescent="0.4">
      <c r="A316" s="2" t="s">
        <v>3501</v>
      </c>
      <c r="B316" s="2" t="s">
        <v>1171</v>
      </c>
      <c r="C316" s="2" t="s">
        <v>3181</v>
      </c>
      <c r="D316" s="2"/>
      <c r="E316" s="2" t="s">
        <v>3198</v>
      </c>
      <c r="F316">
        <f t="shared" si="20"/>
        <v>12999</v>
      </c>
      <c r="G316" t="str">
        <f t="shared" si="21"/>
        <v>Yes</v>
      </c>
      <c r="H316" t="str">
        <f t="shared" si="22"/>
        <v>Missing Price</v>
      </c>
      <c r="I316" t="str">
        <f t="shared" si="23"/>
        <v>Asus Mouse</v>
      </c>
      <c r="J316" t="str">
        <f t="shared" si="24"/>
        <v>Unique</v>
      </c>
    </row>
    <row r="317" spans="1:10" x14ac:dyDescent="0.4">
      <c r="A317" s="2" t="s">
        <v>3502</v>
      </c>
      <c r="B317" s="2" t="s">
        <v>1182</v>
      </c>
      <c r="C317" s="2" t="s">
        <v>3189</v>
      </c>
      <c r="D317" s="2"/>
      <c r="E317" s="2" t="s">
        <v>3182</v>
      </c>
      <c r="F317">
        <f t="shared" si="20"/>
        <v>12999</v>
      </c>
      <c r="G317" t="str">
        <f t="shared" si="21"/>
        <v>No</v>
      </c>
      <c r="H317" t="str">
        <f t="shared" si="22"/>
        <v>Missing Price</v>
      </c>
      <c r="I317" t="str">
        <f t="shared" si="23"/>
        <v>Lenovo Keyboard</v>
      </c>
      <c r="J317" t="str">
        <f t="shared" si="24"/>
        <v>Unique</v>
      </c>
    </row>
    <row r="318" spans="1:10" x14ac:dyDescent="0.4">
      <c r="A318" s="2" t="s">
        <v>3503</v>
      </c>
      <c r="B318" s="2" t="s">
        <v>1187</v>
      </c>
      <c r="C318" s="2" t="s">
        <v>3189</v>
      </c>
      <c r="D318" s="2">
        <v>12999</v>
      </c>
      <c r="E318" s="2"/>
      <c r="F318">
        <f t="shared" si="20"/>
        <v>12999</v>
      </c>
      <c r="G318" t="str">
        <f t="shared" si="21"/>
        <v/>
      </c>
      <c r="H318" t="str">
        <f t="shared" si="22"/>
        <v>No</v>
      </c>
      <c r="I318" t="str">
        <f t="shared" si="23"/>
        <v>Apple Ipad</v>
      </c>
      <c r="J318" t="str">
        <f t="shared" si="24"/>
        <v>Unique</v>
      </c>
    </row>
    <row r="319" spans="1:10" x14ac:dyDescent="0.4">
      <c r="A319" s="2" t="s">
        <v>3504</v>
      </c>
      <c r="B319" s="2" t="s">
        <v>1187</v>
      </c>
      <c r="C319" s="2" t="s">
        <v>3181</v>
      </c>
      <c r="D319" s="2">
        <v>12999</v>
      </c>
      <c r="E319" s="2" t="s">
        <v>3198</v>
      </c>
      <c r="F319">
        <f t="shared" si="20"/>
        <v>12999</v>
      </c>
      <c r="G319" t="str">
        <f t="shared" si="21"/>
        <v>Yes</v>
      </c>
      <c r="H319" t="str">
        <f t="shared" si="22"/>
        <v>No</v>
      </c>
      <c r="I319" t="str">
        <f t="shared" si="23"/>
        <v>Apple Ipad</v>
      </c>
      <c r="J319" t="str">
        <f t="shared" si="24"/>
        <v>Unique</v>
      </c>
    </row>
    <row r="320" spans="1:10" x14ac:dyDescent="0.4">
      <c r="A320" s="2" t="s">
        <v>3505</v>
      </c>
      <c r="B320" s="2" t="s">
        <v>1173</v>
      </c>
      <c r="C320" s="2" t="s">
        <v>3181</v>
      </c>
      <c r="D320" s="2">
        <v>4999</v>
      </c>
      <c r="E320" s="2" t="s">
        <v>3198</v>
      </c>
      <c r="F320">
        <f t="shared" si="20"/>
        <v>4999</v>
      </c>
      <c r="G320" t="str">
        <f t="shared" si="21"/>
        <v>Yes</v>
      </c>
      <c r="H320" t="str">
        <f t="shared" si="22"/>
        <v>No</v>
      </c>
      <c r="I320" t="str">
        <f t="shared" si="23"/>
        <v>Dell Monitor</v>
      </c>
      <c r="J320" t="str">
        <f t="shared" si="24"/>
        <v>Unique</v>
      </c>
    </row>
    <row r="321" spans="1:10" x14ac:dyDescent="0.4">
      <c r="A321" s="2" t="s">
        <v>3506</v>
      </c>
      <c r="B321" s="2" t="s">
        <v>1175</v>
      </c>
      <c r="C321" s="2" t="s">
        <v>3181</v>
      </c>
      <c r="D321" s="2">
        <v>19999</v>
      </c>
      <c r="E321" s="2"/>
      <c r="F321">
        <f t="shared" si="20"/>
        <v>19999</v>
      </c>
      <c r="G321" t="str">
        <f t="shared" si="21"/>
        <v/>
      </c>
      <c r="H321" t="str">
        <f t="shared" si="22"/>
        <v>No</v>
      </c>
      <c r="I321" t="str">
        <f t="shared" si="23"/>
        <v>Hp Laptop</v>
      </c>
      <c r="J321" t="str">
        <f t="shared" si="24"/>
        <v>Unique</v>
      </c>
    </row>
    <row r="322" spans="1:10" x14ac:dyDescent="0.4">
      <c r="A322" s="2" t="s">
        <v>3507</v>
      </c>
      <c r="B322" s="2" t="s">
        <v>1187</v>
      </c>
      <c r="C322" s="2" t="s">
        <v>3187</v>
      </c>
      <c r="D322" s="2">
        <v>15999</v>
      </c>
      <c r="E322" s="2" t="s">
        <v>3182</v>
      </c>
      <c r="F322">
        <f t="shared" si="20"/>
        <v>15999</v>
      </c>
      <c r="G322" t="str">
        <f t="shared" si="21"/>
        <v>No</v>
      </c>
      <c r="H322" t="str">
        <f t="shared" si="22"/>
        <v>No</v>
      </c>
      <c r="I322" t="str">
        <f t="shared" si="23"/>
        <v>Apple Ipad</v>
      </c>
      <c r="J322" t="str">
        <f t="shared" si="24"/>
        <v>Unique</v>
      </c>
    </row>
    <row r="323" spans="1:10" x14ac:dyDescent="0.4">
      <c r="A323" s="2" t="s">
        <v>3508</v>
      </c>
      <c r="B323" s="2" t="s">
        <v>1173</v>
      </c>
      <c r="C323" s="2" t="s">
        <v>3181</v>
      </c>
      <c r="D323" s="2">
        <v>15999</v>
      </c>
      <c r="E323" s="2" t="s">
        <v>3185</v>
      </c>
      <c r="F323">
        <f t="shared" ref="F323:F386" si="25">IF(D323="",MEDIAN($D$2:$D$501),D323)</f>
        <v>15999</v>
      </c>
      <c r="G323" t="str">
        <f t="shared" ref="G323:G386" si="26">PROPER(E323)</f>
        <v>Yes</v>
      </c>
      <c r="H323" t="str">
        <f t="shared" ref="H323:H386" si="27">IF(ISBLANK(D323),"Missing Price","No")</f>
        <v>No</v>
      </c>
      <c r="I323" t="str">
        <f t="shared" ref="I323:I386" si="28">PROPER(B323)</f>
        <v>Dell Monitor</v>
      </c>
      <c r="J323" t="str">
        <f t="shared" ref="J323:J386" si="29">IF(COUNTIF($A$2:$A$501,A323)&gt;1,"Duplicate","Unique")</f>
        <v>Unique</v>
      </c>
    </row>
    <row r="324" spans="1:10" x14ac:dyDescent="0.4">
      <c r="A324" s="2" t="s">
        <v>3509</v>
      </c>
      <c r="B324" s="2" t="s">
        <v>1171</v>
      </c>
      <c r="C324" s="2" t="s">
        <v>3181</v>
      </c>
      <c r="D324" s="2">
        <v>19999</v>
      </c>
      <c r="E324" s="2" t="s">
        <v>3182</v>
      </c>
      <c r="F324">
        <f t="shared" si="25"/>
        <v>19999</v>
      </c>
      <c r="G324" t="str">
        <f t="shared" si="26"/>
        <v>No</v>
      </c>
      <c r="H324" t="str">
        <f t="shared" si="27"/>
        <v>No</v>
      </c>
      <c r="I324" t="str">
        <f t="shared" si="28"/>
        <v>Asus Mouse</v>
      </c>
      <c r="J324" t="str">
        <f t="shared" si="29"/>
        <v>Unique</v>
      </c>
    </row>
    <row r="325" spans="1:10" x14ac:dyDescent="0.4">
      <c r="A325" s="2" t="s">
        <v>3510</v>
      </c>
      <c r="B325" s="2" t="s">
        <v>1182</v>
      </c>
      <c r="C325" s="2" t="s">
        <v>3181</v>
      </c>
      <c r="D325" s="2">
        <v>19999</v>
      </c>
      <c r="E325" s="2"/>
      <c r="F325">
        <f t="shared" si="25"/>
        <v>19999</v>
      </c>
      <c r="G325" t="str">
        <f t="shared" si="26"/>
        <v/>
      </c>
      <c r="H325" t="str">
        <f t="shared" si="27"/>
        <v>No</v>
      </c>
      <c r="I325" t="str">
        <f t="shared" si="28"/>
        <v>Lenovo Keyboard</v>
      </c>
      <c r="J325" t="str">
        <f t="shared" si="29"/>
        <v>Unique</v>
      </c>
    </row>
    <row r="326" spans="1:10" x14ac:dyDescent="0.4">
      <c r="A326" s="2" t="s">
        <v>3511</v>
      </c>
      <c r="B326" s="2" t="s">
        <v>1182</v>
      </c>
      <c r="C326" s="2" t="s">
        <v>3189</v>
      </c>
      <c r="D326" s="2">
        <v>19999</v>
      </c>
      <c r="E326" s="2" t="s">
        <v>3182</v>
      </c>
      <c r="F326">
        <f t="shared" si="25"/>
        <v>19999</v>
      </c>
      <c r="G326" t="str">
        <f t="shared" si="26"/>
        <v>No</v>
      </c>
      <c r="H326" t="str">
        <f t="shared" si="27"/>
        <v>No</v>
      </c>
      <c r="I326" t="str">
        <f t="shared" si="28"/>
        <v>Lenovo Keyboard</v>
      </c>
      <c r="J326" t="str">
        <f t="shared" si="29"/>
        <v>Unique</v>
      </c>
    </row>
    <row r="327" spans="1:10" x14ac:dyDescent="0.4">
      <c r="A327" s="2" t="s">
        <v>3512</v>
      </c>
      <c r="B327" s="2" t="s">
        <v>1187</v>
      </c>
      <c r="C327" s="2" t="s">
        <v>3181</v>
      </c>
      <c r="D327" s="2">
        <v>12999</v>
      </c>
      <c r="E327" s="2" t="s">
        <v>3185</v>
      </c>
      <c r="F327">
        <f t="shared" si="25"/>
        <v>12999</v>
      </c>
      <c r="G327" t="str">
        <f t="shared" si="26"/>
        <v>Yes</v>
      </c>
      <c r="H327" t="str">
        <f t="shared" si="27"/>
        <v>No</v>
      </c>
      <c r="I327" t="str">
        <f t="shared" si="28"/>
        <v>Apple Ipad</v>
      </c>
      <c r="J327" t="str">
        <f t="shared" si="29"/>
        <v>Unique</v>
      </c>
    </row>
    <row r="328" spans="1:10" x14ac:dyDescent="0.4">
      <c r="A328" s="2" t="s">
        <v>3513</v>
      </c>
      <c r="B328" s="2" t="s">
        <v>1182</v>
      </c>
      <c r="C328" s="2" t="s">
        <v>3189</v>
      </c>
      <c r="D328" s="2">
        <v>15999</v>
      </c>
      <c r="E328" s="2" t="s">
        <v>3182</v>
      </c>
      <c r="F328">
        <f t="shared" si="25"/>
        <v>15999</v>
      </c>
      <c r="G328" t="str">
        <f t="shared" si="26"/>
        <v>No</v>
      </c>
      <c r="H328" t="str">
        <f t="shared" si="27"/>
        <v>No</v>
      </c>
      <c r="I328" t="str">
        <f t="shared" si="28"/>
        <v>Lenovo Keyboard</v>
      </c>
      <c r="J328" t="str">
        <f t="shared" si="29"/>
        <v>Unique</v>
      </c>
    </row>
    <row r="329" spans="1:10" x14ac:dyDescent="0.4">
      <c r="A329" s="2" t="s">
        <v>3514</v>
      </c>
      <c r="B329" s="2" t="s">
        <v>1171</v>
      </c>
      <c r="C329" s="2" t="s">
        <v>3189</v>
      </c>
      <c r="D329" s="2">
        <v>7999</v>
      </c>
      <c r="E329" s="2" t="s">
        <v>3198</v>
      </c>
      <c r="F329">
        <f t="shared" si="25"/>
        <v>7999</v>
      </c>
      <c r="G329" t="str">
        <f t="shared" si="26"/>
        <v>Yes</v>
      </c>
      <c r="H329" t="str">
        <f t="shared" si="27"/>
        <v>No</v>
      </c>
      <c r="I329" t="str">
        <f t="shared" si="28"/>
        <v>Asus Mouse</v>
      </c>
      <c r="J329" t="str">
        <f t="shared" si="29"/>
        <v>Unique</v>
      </c>
    </row>
    <row r="330" spans="1:10" x14ac:dyDescent="0.4">
      <c r="A330" s="2" t="s">
        <v>3515</v>
      </c>
      <c r="B330" s="2" t="s">
        <v>1175</v>
      </c>
      <c r="C330" s="2"/>
      <c r="D330" s="2">
        <v>7999</v>
      </c>
      <c r="E330" s="2" t="s">
        <v>3182</v>
      </c>
      <c r="F330">
        <f t="shared" si="25"/>
        <v>7999</v>
      </c>
      <c r="G330" t="str">
        <f t="shared" si="26"/>
        <v>No</v>
      </c>
      <c r="H330" t="str">
        <f t="shared" si="27"/>
        <v>No</v>
      </c>
      <c r="I330" t="str">
        <f t="shared" si="28"/>
        <v>Hp Laptop</v>
      </c>
      <c r="J330" t="str">
        <f t="shared" si="29"/>
        <v>Unique</v>
      </c>
    </row>
    <row r="331" spans="1:10" x14ac:dyDescent="0.4">
      <c r="A331" s="2" t="s">
        <v>3516</v>
      </c>
      <c r="B331" s="2" t="s">
        <v>1180</v>
      </c>
      <c r="C331" s="2" t="s">
        <v>3181</v>
      </c>
      <c r="D331" s="2">
        <v>7999</v>
      </c>
      <c r="E331" s="2" t="s">
        <v>3198</v>
      </c>
      <c r="F331">
        <f t="shared" si="25"/>
        <v>7999</v>
      </c>
      <c r="G331" t="str">
        <f t="shared" si="26"/>
        <v>Yes</v>
      </c>
      <c r="H331" t="str">
        <f t="shared" si="27"/>
        <v>No</v>
      </c>
      <c r="I331" t="str">
        <f t="shared" si="28"/>
        <v>Canon Printer</v>
      </c>
      <c r="J331" t="str">
        <f t="shared" si="29"/>
        <v>Unique</v>
      </c>
    </row>
    <row r="332" spans="1:10" x14ac:dyDescent="0.4">
      <c r="A332" s="2" t="s">
        <v>3517</v>
      </c>
      <c r="B332" s="2" t="s">
        <v>1187</v>
      </c>
      <c r="C332" s="2" t="s">
        <v>3187</v>
      </c>
      <c r="D332" s="2">
        <v>4999</v>
      </c>
      <c r="E332" s="2" t="s">
        <v>3185</v>
      </c>
      <c r="F332">
        <f t="shared" si="25"/>
        <v>4999</v>
      </c>
      <c r="G332" t="str">
        <f t="shared" si="26"/>
        <v>Yes</v>
      </c>
      <c r="H332" t="str">
        <f t="shared" si="27"/>
        <v>No</v>
      </c>
      <c r="I332" t="str">
        <f t="shared" si="28"/>
        <v>Apple Ipad</v>
      </c>
      <c r="J332" t="str">
        <f t="shared" si="29"/>
        <v>Unique</v>
      </c>
    </row>
    <row r="333" spans="1:10" x14ac:dyDescent="0.4">
      <c r="A333" s="2" t="s">
        <v>3518</v>
      </c>
      <c r="B333" s="2" t="s">
        <v>1171</v>
      </c>
      <c r="C333" s="2" t="s">
        <v>3181</v>
      </c>
      <c r="D333" s="2">
        <v>19999</v>
      </c>
      <c r="E333" s="2" t="s">
        <v>3182</v>
      </c>
      <c r="F333">
        <f t="shared" si="25"/>
        <v>19999</v>
      </c>
      <c r="G333" t="str">
        <f t="shared" si="26"/>
        <v>No</v>
      </c>
      <c r="H333" t="str">
        <f t="shared" si="27"/>
        <v>No</v>
      </c>
      <c r="I333" t="str">
        <f t="shared" si="28"/>
        <v>Asus Mouse</v>
      </c>
      <c r="J333" t="str">
        <f t="shared" si="29"/>
        <v>Unique</v>
      </c>
    </row>
    <row r="334" spans="1:10" x14ac:dyDescent="0.4">
      <c r="A334" s="2" t="s">
        <v>3519</v>
      </c>
      <c r="B334" s="2" t="s">
        <v>1180</v>
      </c>
      <c r="C334" s="2"/>
      <c r="D334" s="2">
        <v>19999</v>
      </c>
      <c r="E334" s="2" t="s">
        <v>3198</v>
      </c>
      <c r="F334">
        <f t="shared" si="25"/>
        <v>19999</v>
      </c>
      <c r="G334" t="str">
        <f t="shared" si="26"/>
        <v>Yes</v>
      </c>
      <c r="H334" t="str">
        <f t="shared" si="27"/>
        <v>No</v>
      </c>
      <c r="I334" t="str">
        <f t="shared" si="28"/>
        <v>Canon Printer</v>
      </c>
      <c r="J334" t="str">
        <f t="shared" si="29"/>
        <v>Unique</v>
      </c>
    </row>
    <row r="335" spans="1:10" x14ac:dyDescent="0.4">
      <c r="A335" s="2" t="s">
        <v>3520</v>
      </c>
      <c r="B335" s="2" t="s">
        <v>1173</v>
      </c>
      <c r="C335" s="2" t="s">
        <v>3184</v>
      </c>
      <c r="D335" s="2">
        <v>15999</v>
      </c>
      <c r="E335" s="2" t="s">
        <v>3185</v>
      </c>
      <c r="F335">
        <f t="shared" si="25"/>
        <v>15999</v>
      </c>
      <c r="G335" t="str">
        <f t="shared" si="26"/>
        <v>Yes</v>
      </c>
      <c r="H335" t="str">
        <f t="shared" si="27"/>
        <v>No</v>
      </c>
      <c r="I335" t="str">
        <f t="shared" si="28"/>
        <v>Dell Monitor</v>
      </c>
      <c r="J335" t="str">
        <f t="shared" si="29"/>
        <v>Unique</v>
      </c>
    </row>
    <row r="336" spans="1:10" x14ac:dyDescent="0.4">
      <c r="A336" s="2" t="s">
        <v>3521</v>
      </c>
      <c r="B336" s="2" t="s">
        <v>1175</v>
      </c>
      <c r="C336" s="2" t="s">
        <v>3189</v>
      </c>
      <c r="D336" s="2"/>
      <c r="E336" s="2" t="s">
        <v>3198</v>
      </c>
      <c r="F336">
        <f t="shared" si="25"/>
        <v>12999</v>
      </c>
      <c r="G336" t="str">
        <f t="shared" si="26"/>
        <v>Yes</v>
      </c>
      <c r="H336" t="str">
        <f t="shared" si="27"/>
        <v>Missing Price</v>
      </c>
      <c r="I336" t="str">
        <f t="shared" si="28"/>
        <v>Hp Laptop</v>
      </c>
      <c r="J336" t="str">
        <f t="shared" si="29"/>
        <v>Unique</v>
      </c>
    </row>
    <row r="337" spans="1:10" x14ac:dyDescent="0.4">
      <c r="A337" s="2" t="s">
        <v>3522</v>
      </c>
      <c r="B337" s="2" t="s">
        <v>1187</v>
      </c>
      <c r="C337" s="2" t="s">
        <v>3181</v>
      </c>
      <c r="D337" s="2">
        <v>12999</v>
      </c>
      <c r="E337" s="2" t="s">
        <v>3198</v>
      </c>
      <c r="F337">
        <f t="shared" si="25"/>
        <v>12999</v>
      </c>
      <c r="G337" t="str">
        <f t="shared" si="26"/>
        <v>Yes</v>
      </c>
      <c r="H337" t="str">
        <f t="shared" si="27"/>
        <v>No</v>
      </c>
      <c r="I337" t="str">
        <f t="shared" si="28"/>
        <v>Apple Ipad</v>
      </c>
      <c r="J337" t="str">
        <f t="shared" si="29"/>
        <v>Unique</v>
      </c>
    </row>
    <row r="338" spans="1:10" x14ac:dyDescent="0.4">
      <c r="A338" s="2" t="s">
        <v>3523</v>
      </c>
      <c r="B338" s="2" t="s">
        <v>1182</v>
      </c>
      <c r="C338" s="2" t="s">
        <v>3181</v>
      </c>
      <c r="D338" s="2">
        <v>15999</v>
      </c>
      <c r="E338" s="2" t="s">
        <v>3198</v>
      </c>
      <c r="F338">
        <f t="shared" si="25"/>
        <v>15999</v>
      </c>
      <c r="G338" t="str">
        <f t="shared" si="26"/>
        <v>Yes</v>
      </c>
      <c r="H338" t="str">
        <f t="shared" si="27"/>
        <v>No</v>
      </c>
      <c r="I338" t="str">
        <f t="shared" si="28"/>
        <v>Lenovo Keyboard</v>
      </c>
      <c r="J338" t="str">
        <f t="shared" si="29"/>
        <v>Unique</v>
      </c>
    </row>
    <row r="339" spans="1:10" x14ac:dyDescent="0.4">
      <c r="A339" s="2" t="s">
        <v>3524</v>
      </c>
      <c r="B339" s="2" t="s">
        <v>1187</v>
      </c>
      <c r="C339" s="2" t="s">
        <v>3184</v>
      </c>
      <c r="D339" s="2">
        <v>4999</v>
      </c>
      <c r="E339" s="2" t="s">
        <v>3182</v>
      </c>
      <c r="F339">
        <f t="shared" si="25"/>
        <v>4999</v>
      </c>
      <c r="G339" t="str">
        <f t="shared" si="26"/>
        <v>No</v>
      </c>
      <c r="H339" t="str">
        <f t="shared" si="27"/>
        <v>No</v>
      </c>
      <c r="I339" t="str">
        <f t="shared" si="28"/>
        <v>Apple Ipad</v>
      </c>
      <c r="J339" t="str">
        <f t="shared" si="29"/>
        <v>Unique</v>
      </c>
    </row>
    <row r="340" spans="1:10" x14ac:dyDescent="0.4">
      <c r="A340" s="2" t="s">
        <v>3525</v>
      </c>
      <c r="B340" s="2" t="s">
        <v>1173</v>
      </c>
      <c r="C340" s="2"/>
      <c r="D340" s="2"/>
      <c r="E340" s="2" t="s">
        <v>3198</v>
      </c>
      <c r="F340">
        <f t="shared" si="25"/>
        <v>12999</v>
      </c>
      <c r="G340" t="str">
        <f t="shared" si="26"/>
        <v>Yes</v>
      </c>
      <c r="H340" t="str">
        <f t="shared" si="27"/>
        <v>Missing Price</v>
      </c>
      <c r="I340" t="str">
        <f t="shared" si="28"/>
        <v>Dell Monitor</v>
      </c>
      <c r="J340" t="str">
        <f t="shared" si="29"/>
        <v>Unique</v>
      </c>
    </row>
    <row r="341" spans="1:10" x14ac:dyDescent="0.4">
      <c r="A341" s="2" t="s">
        <v>3526</v>
      </c>
      <c r="B341" s="2" t="s">
        <v>1182</v>
      </c>
      <c r="C341" s="2"/>
      <c r="D341" s="2">
        <v>19999</v>
      </c>
      <c r="E341" s="2"/>
      <c r="F341">
        <f t="shared" si="25"/>
        <v>19999</v>
      </c>
      <c r="G341" t="str">
        <f t="shared" si="26"/>
        <v/>
      </c>
      <c r="H341" t="str">
        <f t="shared" si="27"/>
        <v>No</v>
      </c>
      <c r="I341" t="str">
        <f t="shared" si="28"/>
        <v>Lenovo Keyboard</v>
      </c>
      <c r="J341" t="str">
        <f t="shared" si="29"/>
        <v>Unique</v>
      </c>
    </row>
    <row r="342" spans="1:10" x14ac:dyDescent="0.4">
      <c r="A342" s="2" t="s">
        <v>3527</v>
      </c>
      <c r="B342" s="2" t="s">
        <v>1180</v>
      </c>
      <c r="C342" s="2" t="s">
        <v>3187</v>
      </c>
      <c r="D342" s="2">
        <v>12999</v>
      </c>
      <c r="E342" s="2" t="s">
        <v>3185</v>
      </c>
      <c r="F342">
        <f t="shared" si="25"/>
        <v>12999</v>
      </c>
      <c r="G342" t="str">
        <f t="shared" si="26"/>
        <v>Yes</v>
      </c>
      <c r="H342" t="str">
        <f t="shared" si="27"/>
        <v>No</v>
      </c>
      <c r="I342" t="str">
        <f t="shared" si="28"/>
        <v>Canon Printer</v>
      </c>
      <c r="J342" t="str">
        <f t="shared" si="29"/>
        <v>Unique</v>
      </c>
    </row>
    <row r="343" spans="1:10" x14ac:dyDescent="0.4">
      <c r="A343" s="2" t="s">
        <v>3528</v>
      </c>
      <c r="B343" s="2" t="s">
        <v>1175</v>
      </c>
      <c r="C343" s="2" t="s">
        <v>3189</v>
      </c>
      <c r="D343" s="2"/>
      <c r="E343" s="2" t="s">
        <v>3185</v>
      </c>
      <c r="F343">
        <f t="shared" si="25"/>
        <v>12999</v>
      </c>
      <c r="G343" t="str">
        <f t="shared" si="26"/>
        <v>Yes</v>
      </c>
      <c r="H343" t="str">
        <f t="shared" si="27"/>
        <v>Missing Price</v>
      </c>
      <c r="I343" t="str">
        <f t="shared" si="28"/>
        <v>Hp Laptop</v>
      </c>
      <c r="J343" t="str">
        <f t="shared" si="29"/>
        <v>Unique</v>
      </c>
    </row>
    <row r="344" spans="1:10" x14ac:dyDescent="0.4">
      <c r="A344" s="2" t="s">
        <v>3529</v>
      </c>
      <c r="B344" s="2" t="s">
        <v>1180</v>
      </c>
      <c r="C344" s="2" t="s">
        <v>3184</v>
      </c>
      <c r="D344" s="2">
        <v>12999</v>
      </c>
      <c r="E344" s="2" t="s">
        <v>3182</v>
      </c>
      <c r="F344">
        <f t="shared" si="25"/>
        <v>12999</v>
      </c>
      <c r="G344" t="str">
        <f t="shared" si="26"/>
        <v>No</v>
      </c>
      <c r="H344" t="str">
        <f t="shared" si="27"/>
        <v>No</v>
      </c>
      <c r="I344" t="str">
        <f t="shared" si="28"/>
        <v>Canon Printer</v>
      </c>
      <c r="J344" t="str">
        <f t="shared" si="29"/>
        <v>Unique</v>
      </c>
    </row>
    <row r="345" spans="1:10" x14ac:dyDescent="0.4">
      <c r="A345" s="2" t="s">
        <v>3530</v>
      </c>
      <c r="B345" s="2" t="s">
        <v>1187</v>
      </c>
      <c r="C345" s="2" t="s">
        <v>3184</v>
      </c>
      <c r="D345" s="2">
        <v>7999</v>
      </c>
      <c r="E345" s="2" t="s">
        <v>3182</v>
      </c>
      <c r="F345">
        <f t="shared" si="25"/>
        <v>7999</v>
      </c>
      <c r="G345" t="str">
        <f t="shared" si="26"/>
        <v>No</v>
      </c>
      <c r="H345" t="str">
        <f t="shared" si="27"/>
        <v>No</v>
      </c>
      <c r="I345" t="str">
        <f t="shared" si="28"/>
        <v>Apple Ipad</v>
      </c>
      <c r="J345" t="str">
        <f t="shared" si="29"/>
        <v>Unique</v>
      </c>
    </row>
    <row r="346" spans="1:10" x14ac:dyDescent="0.4">
      <c r="A346" s="2" t="s">
        <v>3531</v>
      </c>
      <c r="B346" s="2" t="s">
        <v>1171</v>
      </c>
      <c r="C346" s="2" t="s">
        <v>3184</v>
      </c>
      <c r="D346" s="2">
        <v>19999</v>
      </c>
      <c r="E346" s="2" t="s">
        <v>3182</v>
      </c>
      <c r="F346">
        <f t="shared" si="25"/>
        <v>19999</v>
      </c>
      <c r="G346" t="str">
        <f t="shared" si="26"/>
        <v>No</v>
      </c>
      <c r="H346" t="str">
        <f t="shared" si="27"/>
        <v>No</v>
      </c>
      <c r="I346" t="str">
        <f t="shared" si="28"/>
        <v>Asus Mouse</v>
      </c>
      <c r="J346" t="str">
        <f t="shared" si="29"/>
        <v>Unique</v>
      </c>
    </row>
    <row r="347" spans="1:10" x14ac:dyDescent="0.4">
      <c r="A347" s="2" t="s">
        <v>3532</v>
      </c>
      <c r="B347" s="2" t="s">
        <v>1173</v>
      </c>
      <c r="C347" s="2" t="s">
        <v>3189</v>
      </c>
      <c r="D347" s="2">
        <v>19999</v>
      </c>
      <c r="E347" s="2"/>
      <c r="F347">
        <f t="shared" si="25"/>
        <v>19999</v>
      </c>
      <c r="G347" t="str">
        <f t="shared" si="26"/>
        <v/>
      </c>
      <c r="H347" t="str">
        <f t="shared" si="27"/>
        <v>No</v>
      </c>
      <c r="I347" t="str">
        <f t="shared" si="28"/>
        <v>Dell Monitor</v>
      </c>
      <c r="J347" t="str">
        <f t="shared" si="29"/>
        <v>Unique</v>
      </c>
    </row>
    <row r="348" spans="1:10" x14ac:dyDescent="0.4">
      <c r="A348" s="2" t="s">
        <v>3533</v>
      </c>
      <c r="B348" s="2" t="s">
        <v>1187</v>
      </c>
      <c r="C348" s="2" t="s">
        <v>3189</v>
      </c>
      <c r="D348" s="2">
        <v>19999</v>
      </c>
      <c r="E348" s="2" t="s">
        <v>3185</v>
      </c>
      <c r="F348">
        <f t="shared" si="25"/>
        <v>19999</v>
      </c>
      <c r="G348" t="str">
        <f t="shared" si="26"/>
        <v>Yes</v>
      </c>
      <c r="H348" t="str">
        <f t="shared" si="27"/>
        <v>No</v>
      </c>
      <c r="I348" t="str">
        <f t="shared" si="28"/>
        <v>Apple Ipad</v>
      </c>
      <c r="J348" t="str">
        <f t="shared" si="29"/>
        <v>Unique</v>
      </c>
    </row>
    <row r="349" spans="1:10" x14ac:dyDescent="0.4">
      <c r="A349" s="2" t="s">
        <v>3534</v>
      </c>
      <c r="B349" s="2" t="s">
        <v>1180</v>
      </c>
      <c r="C349" s="2" t="s">
        <v>3189</v>
      </c>
      <c r="D349" s="2">
        <v>12999</v>
      </c>
      <c r="E349" s="2" t="s">
        <v>3185</v>
      </c>
      <c r="F349">
        <f t="shared" si="25"/>
        <v>12999</v>
      </c>
      <c r="G349" t="str">
        <f t="shared" si="26"/>
        <v>Yes</v>
      </c>
      <c r="H349" t="str">
        <f t="shared" si="27"/>
        <v>No</v>
      </c>
      <c r="I349" t="str">
        <f t="shared" si="28"/>
        <v>Canon Printer</v>
      </c>
      <c r="J349" t="str">
        <f t="shared" si="29"/>
        <v>Unique</v>
      </c>
    </row>
    <row r="350" spans="1:10" x14ac:dyDescent="0.4">
      <c r="A350" s="2" t="s">
        <v>3535</v>
      </c>
      <c r="B350" s="2" t="s">
        <v>1171</v>
      </c>
      <c r="C350" s="2" t="s">
        <v>3189</v>
      </c>
      <c r="D350" s="2">
        <v>12999</v>
      </c>
      <c r="E350" s="2" t="s">
        <v>3182</v>
      </c>
      <c r="F350">
        <f t="shared" si="25"/>
        <v>12999</v>
      </c>
      <c r="G350" t="str">
        <f t="shared" si="26"/>
        <v>No</v>
      </c>
      <c r="H350" t="str">
        <f t="shared" si="27"/>
        <v>No</v>
      </c>
      <c r="I350" t="str">
        <f t="shared" si="28"/>
        <v>Asus Mouse</v>
      </c>
      <c r="J350" t="str">
        <f t="shared" si="29"/>
        <v>Unique</v>
      </c>
    </row>
    <row r="351" spans="1:10" x14ac:dyDescent="0.4">
      <c r="A351" s="2" t="s">
        <v>3536</v>
      </c>
      <c r="B351" s="2" t="s">
        <v>1187</v>
      </c>
      <c r="C351" s="2" t="s">
        <v>3181</v>
      </c>
      <c r="D351" s="2">
        <v>4999</v>
      </c>
      <c r="E351" s="2" t="s">
        <v>3182</v>
      </c>
      <c r="F351">
        <f t="shared" si="25"/>
        <v>4999</v>
      </c>
      <c r="G351" t="str">
        <f t="shared" si="26"/>
        <v>No</v>
      </c>
      <c r="H351" t="str">
        <f t="shared" si="27"/>
        <v>No</v>
      </c>
      <c r="I351" t="str">
        <f t="shared" si="28"/>
        <v>Apple Ipad</v>
      </c>
      <c r="J351" t="str">
        <f t="shared" si="29"/>
        <v>Unique</v>
      </c>
    </row>
    <row r="352" spans="1:10" x14ac:dyDescent="0.4">
      <c r="A352" s="2" t="s">
        <v>3537</v>
      </c>
      <c r="B352" s="2" t="s">
        <v>1173</v>
      </c>
      <c r="C352" s="2" t="s">
        <v>3184</v>
      </c>
      <c r="D352" s="2">
        <v>4999</v>
      </c>
      <c r="E352" s="2" t="s">
        <v>3198</v>
      </c>
      <c r="F352">
        <f t="shared" si="25"/>
        <v>4999</v>
      </c>
      <c r="G352" t="str">
        <f t="shared" si="26"/>
        <v>Yes</v>
      </c>
      <c r="H352" t="str">
        <f t="shared" si="27"/>
        <v>No</v>
      </c>
      <c r="I352" t="str">
        <f t="shared" si="28"/>
        <v>Dell Monitor</v>
      </c>
      <c r="J352" t="str">
        <f t="shared" si="29"/>
        <v>Unique</v>
      </c>
    </row>
    <row r="353" spans="1:10" x14ac:dyDescent="0.4">
      <c r="A353" s="2" t="s">
        <v>3538</v>
      </c>
      <c r="B353" s="2" t="s">
        <v>1187</v>
      </c>
      <c r="C353" s="2" t="s">
        <v>3181</v>
      </c>
      <c r="D353" s="2">
        <v>4999</v>
      </c>
      <c r="E353" s="2" t="s">
        <v>3182</v>
      </c>
      <c r="F353">
        <f t="shared" si="25"/>
        <v>4999</v>
      </c>
      <c r="G353" t="str">
        <f t="shared" si="26"/>
        <v>No</v>
      </c>
      <c r="H353" t="str">
        <f t="shared" si="27"/>
        <v>No</v>
      </c>
      <c r="I353" t="str">
        <f t="shared" si="28"/>
        <v>Apple Ipad</v>
      </c>
      <c r="J353" t="str">
        <f t="shared" si="29"/>
        <v>Unique</v>
      </c>
    </row>
    <row r="354" spans="1:10" x14ac:dyDescent="0.4">
      <c r="A354" s="2" t="s">
        <v>3539</v>
      </c>
      <c r="B354" s="2" t="s">
        <v>1182</v>
      </c>
      <c r="C354" s="2" t="s">
        <v>3187</v>
      </c>
      <c r="D354" s="2">
        <v>15999</v>
      </c>
      <c r="E354" s="2" t="s">
        <v>3185</v>
      </c>
      <c r="F354">
        <f t="shared" si="25"/>
        <v>15999</v>
      </c>
      <c r="G354" t="str">
        <f t="shared" si="26"/>
        <v>Yes</v>
      </c>
      <c r="H354" t="str">
        <f t="shared" si="27"/>
        <v>No</v>
      </c>
      <c r="I354" t="str">
        <f t="shared" si="28"/>
        <v>Lenovo Keyboard</v>
      </c>
      <c r="J354" t="str">
        <f t="shared" si="29"/>
        <v>Unique</v>
      </c>
    </row>
    <row r="355" spans="1:10" x14ac:dyDescent="0.4">
      <c r="A355" s="2" t="s">
        <v>3540</v>
      </c>
      <c r="B355" s="2" t="s">
        <v>1182</v>
      </c>
      <c r="C355" s="2" t="s">
        <v>3184</v>
      </c>
      <c r="D355" s="2">
        <v>7999</v>
      </c>
      <c r="E355" s="2" t="s">
        <v>3198</v>
      </c>
      <c r="F355">
        <f t="shared" si="25"/>
        <v>7999</v>
      </c>
      <c r="G355" t="str">
        <f t="shared" si="26"/>
        <v>Yes</v>
      </c>
      <c r="H355" t="str">
        <f t="shared" si="27"/>
        <v>No</v>
      </c>
      <c r="I355" t="str">
        <f t="shared" si="28"/>
        <v>Lenovo Keyboard</v>
      </c>
      <c r="J355" t="str">
        <f t="shared" si="29"/>
        <v>Unique</v>
      </c>
    </row>
    <row r="356" spans="1:10" x14ac:dyDescent="0.4">
      <c r="A356" s="2" t="s">
        <v>3541</v>
      </c>
      <c r="B356" s="2" t="s">
        <v>1171</v>
      </c>
      <c r="C356" s="2" t="s">
        <v>3189</v>
      </c>
      <c r="D356" s="2">
        <v>7999</v>
      </c>
      <c r="E356" s="2"/>
      <c r="F356">
        <f t="shared" si="25"/>
        <v>7999</v>
      </c>
      <c r="G356" t="str">
        <f t="shared" si="26"/>
        <v/>
      </c>
      <c r="H356" t="str">
        <f t="shared" si="27"/>
        <v>No</v>
      </c>
      <c r="I356" t="str">
        <f t="shared" si="28"/>
        <v>Asus Mouse</v>
      </c>
      <c r="J356" t="str">
        <f t="shared" si="29"/>
        <v>Unique</v>
      </c>
    </row>
    <row r="357" spans="1:10" x14ac:dyDescent="0.4">
      <c r="A357" s="2" t="s">
        <v>3542</v>
      </c>
      <c r="B357" s="2" t="s">
        <v>1180</v>
      </c>
      <c r="C357" s="2"/>
      <c r="D357" s="2">
        <v>12999</v>
      </c>
      <c r="E357" s="2"/>
      <c r="F357">
        <f t="shared" si="25"/>
        <v>12999</v>
      </c>
      <c r="G357" t="str">
        <f t="shared" si="26"/>
        <v/>
      </c>
      <c r="H357" t="str">
        <f t="shared" si="27"/>
        <v>No</v>
      </c>
      <c r="I357" t="str">
        <f t="shared" si="28"/>
        <v>Canon Printer</v>
      </c>
      <c r="J357" t="str">
        <f t="shared" si="29"/>
        <v>Unique</v>
      </c>
    </row>
    <row r="358" spans="1:10" x14ac:dyDescent="0.4">
      <c r="A358" s="2" t="s">
        <v>3543</v>
      </c>
      <c r="B358" s="2" t="s">
        <v>1182</v>
      </c>
      <c r="C358" s="2"/>
      <c r="D358" s="2">
        <v>4999</v>
      </c>
      <c r="E358" s="2" t="s">
        <v>3185</v>
      </c>
      <c r="F358">
        <f t="shared" si="25"/>
        <v>4999</v>
      </c>
      <c r="G358" t="str">
        <f t="shared" si="26"/>
        <v>Yes</v>
      </c>
      <c r="H358" t="str">
        <f t="shared" si="27"/>
        <v>No</v>
      </c>
      <c r="I358" t="str">
        <f t="shared" si="28"/>
        <v>Lenovo Keyboard</v>
      </c>
      <c r="J358" t="str">
        <f t="shared" si="29"/>
        <v>Unique</v>
      </c>
    </row>
    <row r="359" spans="1:10" x14ac:dyDescent="0.4">
      <c r="A359" s="2" t="s">
        <v>3544</v>
      </c>
      <c r="B359" s="2" t="s">
        <v>1175</v>
      </c>
      <c r="C359" s="2" t="s">
        <v>3189</v>
      </c>
      <c r="D359" s="2">
        <v>19999</v>
      </c>
      <c r="E359" s="2" t="s">
        <v>3198</v>
      </c>
      <c r="F359">
        <f t="shared" si="25"/>
        <v>19999</v>
      </c>
      <c r="G359" t="str">
        <f t="shared" si="26"/>
        <v>Yes</v>
      </c>
      <c r="H359" t="str">
        <f t="shared" si="27"/>
        <v>No</v>
      </c>
      <c r="I359" t="str">
        <f t="shared" si="28"/>
        <v>Hp Laptop</v>
      </c>
      <c r="J359" t="str">
        <f t="shared" si="29"/>
        <v>Unique</v>
      </c>
    </row>
    <row r="360" spans="1:10" x14ac:dyDescent="0.4">
      <c r="A360" s="2" t="s">
        <v>3545</v>
      </c>
      <c r="B360" s="2" t="s">
        <v>1175</v>
      </c>
      <c r="C360" s="2" t="s">
        <v>3189</v>
      </c>
      <c r="D360" s="2">
        <v>19999</v>
      </c>
      <c r="E360" s="2" t="s">
        <v>3182</v>
      </c>
      <c r="F360">
        <f t="shared" si="25"/>
        <v>19999</v>
      </c>
      <c r="G360" t="str">
        <f t="shared" si="26"/>
        <v>No</v>
      </c>
      <c r="H360" t="str">
        <f t="shared" si="27"/>
        <v>No</v>
      </c>
      <c r="I360" t="str">
        <f t="shared" si="28"/>
        <v>Hp Laptop</v>
      </c>
      <c r="J360" t="str">
        <f t="shared" si="29"/>
        <v>Unique</v>
      </c>
    </row>
    <row r="361" spans="1:10" x14ac:dyDescent="0.4">
      <c r="A361" s="2" t="s">
        <v>3546</v>
      </c>
      <c r="B361" s="2" t="s">
        <v>1187</v>
      </c>
      <c r="C361" s="2" t="s">
        <v>3181</v>
      </c>
      <c r="D361" s="2">
        <v>7999</v>
      </c>
      <c r="E361" s="2" t="s">
        <v>3182</v>
      </c>
      <c r="F361">
        <f t="shared" si="25"/>
        <v>7999</v>
      </c>
      <c r="G361" t="str">
        <f t="shared" si="26"/>
        <v>No</v>
      </c>
      <c r="H361" t="str">
        <f t="shared" si="27"/>
        <v>No</v>
      </c>
      <c r="I361" t="str">
        <f t="shared" si="28"/>
        <v>Apple Ipad</v>
      </c>
      <c r="J361" t="str">
        <f t="shared" si="29"/>
        <v>Unique</v>
      </c>
    </row>
    <row r="362" spans="1:10" x14ac:dyDescent="0.4">
      <c r="A362" s="2" t="s">
        <v>3547</v>
      </c>
      <c r="B362" s="2" t="s">
        <v>1180</v>
      </c>
      <c r="C362" s="2" t="s">
        <v>3189</v>
      </c>
      <c r="D362" s="2">
        <v>7999</v>
      </c>
      <c r="E362" s="2" t="s">
        <v>3198</v>
      </c>
      <c r="F362">
        <f t="shared" si="25"/>
        <v>7999</v>
      </c>
      <c r="G362" t="str">
        <f t="shared" si="26"/>
        <v>Yes</v>
      </c>
      <c r="H362" t="str">
        <f t="shared" si="27"/>
        <v>No</v>
      </c>
      <c r="I362" t="str">
        <f t="shared" si="28"/>
        <v>Canon Printer</v>
      </c>
      <c r="J362" t="str">
        <f t="shared" si="29"/>
        <v>Unique</v>
      </c>
    </row>
    <row r="363" spans="1:10" x14ac:dyDescent="0.4">
      <c r="A363" s="2" t="s">
        <v>3548</v>
      </c>
      <c r="B363" s="2" t="s">
        <v>1175</v>
      </c>
      <c r="C363" s="2" t="s">
        <v>3184</v>
      </c>
      <c r="D363" s="2">
        <v>12999</v>
      </c>
      <c r="E363" s="2" t="s">
        <v>3198</v>
      </c>
      <c r="F363">
        <f t="shared" si="25"/>
        <v>12999</v>
      </c>
      <c r="G363" t="str">
        <f t="shared" si="26"/>
        <v>Yes</v>
      </c>
      <c r="H363" t="str">
        <f t="shared" si="27"/>
        <v>No</v>
      </c>
      <c r="I363" t="str">
        <f t="shared" si="28"/>
        <v>Hp Laptop</v>
      </c>
      <c r="J363" t="str">
        <f t="shared" si="29"/>
        <v>Unique</v>
      </c>
    </row>
    <row r="364" spans="1:10" x14ac:dyDescent="0.4">
      <c r="A364" s="2" t="s">
        <v>3549</v>
      </c>
      <c r="B364" s="2" t="s">
        <v>1175</v>
      </c>
      <c r="C364" s="2" t="s">
        <v>3181</v>
      </c>
      <c r="D364" s="2">
        <v>12999</v>
      </c>
      <c r="E364" s="2"/>
      <c r="F364">
        <f t="shared" si="25"/>
        <v>12999</v>
      </c>
      <c r="G364" t="str">
        <f t="shared" si="26"/>
        <v/>
      </c>
      <c r="H364" t="str">
        <f t="shared" si="27"/>
        <v>No</v>
      </c>
      <c r="I364" t="str">
        <f t="shared" si="28"/>
        <v>Hp Laptop</v>
      </c>
      <c r="J364" t="str">
        <f t="shared" si="29"/>
        <v>Unique</v>
      </c>
    </row>
    <row r="365" spans="1:10" x14ac:dyDescent="0.4">
      <c r="A365" s="2" t="s">
        <v>3550</v>
      </c>
      <c r="B365" s="2" t="s">
        <v>1173</v>
      </c>
      <c r="C365" s="2" t="s">
        <v>3184</v>
      </c>
      <c r="D365" s="2"/>
      <c r="E365" s="2" t="s">
        <v>3182</v>
      </c>
      <c r="F365">
        <f t="shared" si="25"/>
        <v>12999</v>
      </c>
      <c r="G365" t="str">
        <f t="shared" si="26"/>
        <v>No</v>
      </c>
      <c r="H365" t="str">
        <f t="shared" si="27"/>
        <v>Missing Price</v>
      </c>
      <c r="I365" t="str">
        <f t="shared" si="28"/>
        <v>Dell Monitor</v>
      </c>
      <c r="J365" t="str">
        <f t="shared" si="29"/>
        <v>Unique</v>
      </c>
    </row>
    <row r="366" spans="1:10" x14ac:dyDescent="0.4">
      <c r="A366" s="2" t="s">
        <v>3551</v>
      </c>
      <c r="B366" s="2" t="s">
        <v>1173</v>
      </c>
      <c r="C366" s="2"/>
      <c r="D366" s="2"/>
      <c r="E366" s="2" t="s">
        <v>3185</v>
      </c>
      <c r="F366">
        <f t="shared" si="25"/>
        <v>12999</v>
      </c>
      <c r="G366" t="str">
        <f t="shared" si="26"/>
        <v>Yes</v>
      </c>
      <c r="H366" t="str">
        <f t="shared" si="27"/>
        <v>Missing Price</v>
      </c>
      <c r="I366" t="str">
        <f t="shared" si="28"/>
        <v>Dell Monitor</v>
      </c>
      <c r="J366" t="str">
        <f t="shared" si="29"/>
        <v>Unique</v>
      </c>
    </row>
    <row r="367" spans="1:10" x14ac:dyDescent="0.4">
      <c r="A367" s="2" t="s">
        <v>3552</v>
      </c>
      <c r="B367" s="2" t="s">
        <v>1175</v>
      </c>
      <c r="C367" s="2" t="s">
        <v>3187</v>
      </c>
      <c r="D367" s="2">
        <v>12999</v>
      </c>
      <c r="E367" s="2" t="s">
        <v>3182</v>
      </c>
      <c r="F367">
        <f t="shared" si="25"/>
        <v>12999</v>
      </c>
      <c r="G367" t="str">
        <f t="shared" si="26"/>
        <v>No</v>
      </c>
      <c r="H367" t="str">
        <f t="shared" si="27"/>
        <v>No</v>
      </c>
      <c r="I367" t="str">
        <f t="shared" si="28"/>
        <v>Hp Laptop</v>
      </c>
      <c r="J367" t="str">
        <f t="shared" si="29"/>
        <v>Unique</v>
      </c>
    </row>
    <row r="368" spans="1:10" x14ac:dyDescent="0.4">
      <c r="A368" s="2" t="s">
        <v>3553</v>
      </c>
      <c r="B368" s="2" t="s">
        <v>1173</v>
      </c>
      <c r="C368" s="2" t="s">
        <v>3184</v>
      </c>
      <c r="D368" s="2"/>
      <c r="E368" s="2"/>
      <c r="F368">
        <f t="shared" si="25"/>
        <v>12999</v>
      </c>
      <c r="G368" t="str">
        <f t="shared" si="26"/>
        <v/>
      </c>
      <c r="H368" t="str">
        <f t="shared" si="27"/>
        <v>Missing Price</v>
      </c>
      <c r="I368" t="str">
        <f t="shared" si="28"/>
        <v>Dell Monitor</v>
      </c>
      <c r="J368" t="str">
        <f t="shared" si="29"/>
        <v>Unique</v>
      </c>
    </row>
    <row r="369" spans="1:10" x14ac:dyDescent="0.4">
      <c r="A369" s="2" t="s">
        <v>3554</v>
      </c>
      <c r="B369" s="2" t="s">
        <v>1175</v>
      </c>
      <c r="C369" s="2" t="s">
        <v>3189</v>
      </c>
      <c r="D369" s="2">
        <v>7999</v>
      </c>
      <c r="E369" s="2" t="s">
        <v>3198</v>
      </c>
      <c r="F369">
        <f t="shared" si="25"/>
        <v>7999</v>
      </c>
      <c r="G369" t="str">
        <f t="shared" si="26"/>
        <v>Yes</v>
      </c>
      <c r="H369" t="str">
        <f t="shared" si="27"/>
        <v>No</v>
      </c>
      <c r="I369" t="str">
        <f t="shared" si="28"/>
        <v>Hp Laptop</v>
      </c>
      <c r="J369" t="str">
        <f t="shared" si="29"/>
        <v>Unique</v>
      </c>
    </row>
    <row r="370" spans="1:10" x14ac:dyDescent="0.4">
      <c r="A370" s="2" t="s">
        <v>3555</v>
      </c>
      <c r="B370" s="2" t="s">
        <v>1171</v>
      </c>
      <c r="C370" s="2" t="s">
        <v>3184</v>
      </c>
      <c r="D370" s="2">
        <v>12999</v>
      </c>
      <c r="E370" s="2" t="s">
        <v>3182</v>
      </c>
      <c r="F370">
        <f t="shared" si="25"/>
        <v>12999</v>
      </c>
      <c r="G370" t="str">
        <f t="shared" si="26"/>
        <v>No</v>
      </c>
      <c r="H370" t="str">
        <f t="shared" si="27"/>
        <v>No</v>
      </c>
      <c r="I370" t="str">
        <f t="shared" si="28"/>
        <v>Asus Mouse</v>
      </c>
      <c r="J370" t="str">
        <f t="shared" si="29"/>
        <v>Unique</v>
      </c>
    </row>
    <row r="371" spans="1:10" x14ac:dyDescent="0.4">
      <c r="A371" s="2" t="s">
        <v>3556</v>
      </c>
      <c r="B371" s="2" t="s">
        <v>1173</v>
      </c>
      <c r="C371" s="2" t="s">
        <v>3184</v>
      </c>
      <c r="D371" s="2">
        <v>12999</v>
      </c>
      <c r="E371" s="2" t="s">
        <v>3198</v>
      </c>
      <c r="F371">
        <f t="shared" si="25"/>
        <v>12999</v>
      </c>
      <c r="G371" t="str">
        <f t="shared" si="26"/>
        <v>Yes</v>
      </c>
      <c r="H371" t="str">
        <f t="shared" si="27"/>
        <v>No</v>
      </c>
      <c r="I371" t="str">
        <f t="shared" si="28"/>
        <v>Dell Monitor</v>
      </c>
      <c r="J371" t="str">
        <f t="shared" si="29"/>
        <v>Unique</v>
      </c>
    </row>
    <row r="372" spans="1:10" x14ac:dyDescent="0.4">
      <c r="A372" s="2" t="s">
        <v>3557</v>
      </c>
      <c r="B372" s="2" t="s">
        <v>1175</v>
      </c>
      <c r="C372" s="2" t="s">
        <v>3181</v>
      </c>
      <c r="D372" s="2">
        <v>4999</v>
      </c>
      <c r="E372" s="2" t="s">
        <v>3182</v>
      </c>
      <c r="F372">
        <f t="shared" si="25"/>
        <v>4999</v>
      </c>
      <c r="G372" t="str">
        <f t="shared" si="26"/>
        <v>No</v>
      </c>
      <c r="H372" t="str">
        <f t="shared" si="27"/>
        <v>No</v>
      </c>
      <c r="I372" t="str">
        <f t="shared" si="28"/>
        <v>Hp Laptop</v>
      </c>
      <c r="J372" t="str">
        <f t="shared" si="29"/>
        <v>Unique</v>
      </c>
    </row>
    <row r="373" spans="1:10" x14ac:dyDescent="0.4">
      <c r="A373" s="2" t="s">
        <v>3558</v>
      </c>
      <c r="B373" s="2" t="s">
        <v>1175</v>
      </c>
      <c r="C373" s="2" t="s">
        <v>3181</v>
      </c>
      <c r="D373" s="2">
        <v>7999</v>
      </c>
      <c r="E373" s="2" t="s">
        <v>3185</v>
      </c>
      <c r="F373">
        <f t="shared" si="25"/>
        <v>7999</v>
      </c>
      <c r="G373" t="str">
        <f t="shared" si="26"/>
        <v>Yes</v>
      </c>
      <c r="H373" t="str">
        <f t="shared" si="27"/>
        <v>No</v>
      </c>
      <c r="I373" t="str">
        <f t="shared" si="28"/>
        <v>Hp Laptop</v>
      </c>
      <c r="J373" t="str">
        <f t="shared" si="29"/>
        <v>Unique</v>
      </c>
    </row>
    <row r="374" spans="1:10" x14ac:dyDescent="0.4">
      <c r="A374" s="2" t="s">
        <v>3559</v>
      </c>
      <c r="B374" s="2" t="s">
        <v>1187</v>
      </c>
      <c r="C374" s="2"/>
      <c r="D374" s="2">
        <v>7999</v>
      </c>
      <c r="E374" s="2" t="s">
        <v>3185</v>
      </c>
      <c r="F374">
        <f t="shared" si="25"/>
        <v>7999</v>
      </c>
      <c r="G374" t="str">
        <f t="shared" si="26"/>
        <v>Yes</v>
      </c>
      <c r="H374" t="str">
        <f t="shared" si="27"/>
        <v>No</v>
      </c>
      <c r="I374" t="str">
        <f t="shared" si="28"/>
        <v>Apple Ipad</v>
      </c>
      <c r="J374" t="str">
        <f t="shared" si="29"/>
        <v>Unique</v>
      </c>
    </row>
    <row r="375" spans="1:10" x14ac:dyDescent="0.4">
      <c r="A375" s="2" t="s">
        <v>3560</v>
      </c>
      <c r="B375" s="2" t="s">
        <v>1180</v>
      </c>
      <c r="C375" s="2" t="s">
        <v>3184</v>
      </c>
      <c r="D375" s="2">
        <v>15999</v>
      </c>
      <c r="E375" s="2" t="s">
        <v>3182</v>
      </c>
      <c r="F375">
        <f t="shared" si="25"/>
        <v>15999</v>
      </c>
      <c r="G375" t="str">
        <f t="shared" si="26"/>
        <v>No</v>
      </c>
      <c r="H375" t="str">
        <f t="shared" si="27"/>
        <v>No</v>
      </c>
      <c r="I375" t="str">
        <f t="shared" si="28"/>
        <v>Canon Printer</v>
      </c>
      <c r="J375" t="str">
        <f t="shared" si="29"/>
        <v>Unique</v>
      </c>
    </row>
    <row r="376" spans="1:10" x14ac:dyDescent="0.4">
      <c r="A376" s="2" t="s">
        <v>3561</v>
      </c>
      <c r="B376" s="2" t="s">
        <v>1171</v>
      </c>
      <c r="C376" s="2"/>
      <c r="D376" s="2">
        <v>15999</v>
      </c>
      <c r="E376" s="2" t="s">
        <v>3182</v>
      </c>
      <c r="F376">
        <f t="shared" si="25"/>
        <v>15999</v>
      </c>
      <c r="G376" t="str">
        <f t="shared" si="26"/>
        <v>No</v>
      </c>
      <c r="H376" t="str">
        <f t="shared" si="27"/>
        <v>No</v>
      </c>
      <c r="I376" t="str">
        <f t="shared" si="28"/>
        <v>Asus Mouse</v>
      </c>
      <c r="J376" t="str">
        <f t="shared" si="29"/>
        <v>Unique</v>
      </c>
    </row>
    <row r="377" spans="1:10" x14ac:dyDescent="0.4">
      <c r="A377" s="2" t="s">
        <v>3562</v>
      </c>
      <c r="B377" s="2" t="s">
        <v>1180</v>
      </c>
      <c r="C377" s="2" t="s">
        <v>3187</v>
      </c>
      <c r="D377" s="2">
        <v>4999</v>
      </c>
      <c r="E377" s="2" t="s">
        <v>3198</v>
      </c>
      <c r="F377">
        <f t="shared" si="25"/>
        <v>4999</v>
      </c>
      <c r="G377" t="str">
        <f t="shared" si="26"/>
        <v>Yes</v>
      </c>
      <c r="H377" t="str">
        <f t="shared" si="27"/>
        <v>No</v>
      </c>
      <c r="I377" t="str">
        <f t="shared" si="28"/>
        <v>Canon Printer</v>
      </c>
      <c r="J377" t="str">
        <f t="shared" si="29"/>
        <v>Unique</v>
      </c>
    </row>
    <row r="378" spans="1:10" x14ac:dyDescent="0.4">
      <c r="A378" s="2" t="s">
        <v>3563</v>
      </c>
      <c r="B378" s="2" t="s">
        <v>1171</v>
      </c>
      <c r="C378" s="2" t="s">
        <v>3184</v>
      </c>
      <c r="D378" s="2">
        <v>15999</v>
      </c>
      <c r="E378" s="2" t="s">
        <v>3198</v>
      </c>
      <c r="F378">
        <f t="shared" si="25"/>
        <v>15999</v>
      </c>
      <c r="G378" t="str">
        <f t="shared" si="26"/>
        <v>Yes</v>
      </c>
      <c r="H378" t="str">
        <f t="shared" si="27"/>
        <v>No</v>
      </c>
      <c r="I378" t="str">
        <f t="shared" si="28"/>
        <v>Asus Mouse</v>
      </c>
      <c r="J378" t="str">
        <f t="shared" si="29"/>
        <v>Unique</v>
      </c>
    </row>
    <row r="379" spans="1:10" x14ac:dyDescent="0.4">
      <c r="A379" s="2" t="s">
        <v>3564</v>
      </c>
      <c r="B379" s="2" t="s">
        <v>1187</v>
      </c>
      <c r="C379" s="2" t="s">
        <v>3181</v>
      </c>
      <c r="D379" s="2"/>
      <c r="E379" s="2"/>
      <c r="F379">
        <f t="shared" si="25"/>
        <v>12999</v>
      </c>
      <c r="G379" t="str">
        <f t="shared" si="26"/>
        <v/>
      </c>
      <c r="H379" t="str">
        <f t="shared" si="27"/>
        <v>Missing Price</v>
      </c>
      <c r="I379" t="str">
        <f t="shared" si="28"/>
        <v>Apple Ipad</v>
      </c>
      <c r="J379" t="str">
        <f t="shared" si="29"/>
        <v>Unique</v>
      </c>
    </row>
    <row r="380" spans="1:10" x14ac:dyDescent="0.4">
      <c r="A380" s="2" t="s">
        <v>3565</v>
      </c>
      <c r="B380" s="2" t="s">
        <v>1187</v>
      </c>
      <c r="C380" s="2"/>
      <c r="D380" s="2">
        <v>12999</v>
      </c>
      <c r="E380" s="2"/>
      <c r="F380">
        <f t="shared" si="25"/>
        <v>12999</v>
      </c>
      <c r="G380" t="str">
        <f t="shared" si="26"/>
        <v/>
      </c>
      <c r="H380" t="str">
        <f t="shared" si="27"/>
        <v>No</v>
      </c>
      <c r="I380" t="str">
        <f t="shared" si="28"/>
        <v>Apple Ipad</v>
      </c>
      <c r="J380" t="str">
        <f t="shared" si="29"/>
        <v>Unique</v>
      </c>
    </row>
    <row r="381" spans="1:10" x14ac:dyDescent="0.4">
      <c r="A381" s="2" t="s">
        <v>3566</v>
      </c>
      <c r="B381" s="2" t="s">
        <v>1180</v>
      </c>
      <c r="C381" s="2" t="s">
        <v>3181</v>
      </c>
      <c r="D381" s="2">
        <v>19999</v>
      </c>
      <c r="E381" s="2" t="s">
        <v>3182</v>
      </c>
      <c r="F381">
        <f t="shared" si="25"/>
        <v>19999</v>
      </c>
      <c r="G381" t="str">
        <f t="shared" si="26"/>
        <v>No</v>
      </c>
      <c r="H381" t="str">
        <f t="shared" si="27"/>
        <v>No</v>
      </c>
      <c r="I381" t="str">
        <f t="shared" si="28"/>
        <v>Canon Printer</v>
      </c>
      <c r="J381" t="str">
        <f t="shared" si="29"/>
        <v>Unique</v>
      </c>
    </row>
    <row r="382" spans="1:10" x14ac:dyDescent="0.4">
      <c r="A382" s="2" t="s">
        <v>3567</v>
      </c>
      <c r="B382" s="2" t="s">
        <v>1187</v>
      </c>
      <c r="C382" s="2" t="s">
        <v>3181</v>
      </c>
      <c r="D382" s="2"/>
      <c r="E382" s="2" t="s">
        <v>3185</v>
      </c>
      <c r="F382">
        <f t="shared" si="25"/>
        <v>12999</v>
      </c>
      <c r="G382" t="str">
        <f t="shared" si="26"/>
        <v>Yes</v>
      </c>
      <c r="H382" t="str">
        <f t="shared" si="27"/>
        <v>Missing Price</v>
      </c>
      <c r="I382" t="str">
        <f t="shared" si="28"/>
        <v>Apple Ipad</v>
      </c>
      <c r="J382" t="str">
        <f t="shared" si="29"/>
        <v>Unique</v>
      </c>
    </row>
    <row r="383" spans="1:10" x14ac:dyDescent="0.4">
      <c r="A383" s="2" t="s">
        <v>3568</v>
      </c>
      <c r="B383" s="2" t="s">
        <v>1182</v>
      </c>
      <c r="C383" s="2" t="s">
        <v>3181</v>
      </c>
      <c r="D383" s="2">
        <v>7999</v>
      </c>
      <c r="E383" s="2"/>
      <c r="F383">
        <f t="shared" si="25"/>
        <v>7999</v>
      </c>
      <c r="G383" t="str">
        <f t="shared" si="26"/>
        <v/>
      </c>
      <c r="H383" t="str">
        <f t="shared" si="27"/>
        <v>No</v>
      </c>
      <c r="I383" t="str">
        <f t="shared" si="28"/>
        <v>Lenovo Keyboard</v>
      </c>
      <c r="J383" t="str">
        <f t="shared" si="29"/>
        <v>Unique</v>
      </c>
    </row>
    <row r="384" spans="1:10" x14ac:dyDescent="0.4">
      <c r="A384" s="2" t="s">
        <v>3569</v>
      </c>
      <c r="B384" s="2" t="s">
        <v>1175</v>
      </c>
      <c r="C384" s="2" t="s">
        <v>3181</v>
      </c>
      <c r="D384" s="2">
        <v>15999</v>
      </c>
      <c r="E384" s="2"/>
      <c r="F384">
        <f t="shared" si="25"/>
        <v>15999</v>
      </c>
      <c r="G384" t="str">
        <f t="shared" si="26"/>
        <v/>
      </c>
      <c r="H384" t="str">
        <f t="shared" si="27"/>
        <v>No</v>
      </c>
      <c r="I384" t="str">
        <f t="shared" si="28"/>
        <v>Hp Laptop</v>
      </c>
      <c r="J384" t="str">
        <f t="shared" si="29"/>
        <v>Unique</v>
      </c>
    </row>
    <row r="385" spans="1:10" x14ac:dyDescent="0.4">
      <c r="A385" s="2" t="s">
        <v>3570</v>
      </c>
      <c r="B385" s="2" t="s">
        <v>1182</v>
      </c>
      <c r="C385" s="2"/>
      <c r="D385" s="2">
        <v>19999</v>
      </c>
      <c r="E385" s="2" t="s">
        <v>3185</v>
      </c>
      <c r="F385">
        <f t="shared" si="25"/>
        <v>19999</v>
      </c>
      <c r="G385" t="str">
        <f t="shared" si="26"/>
        <v>Yes</v>
      </c>
      <c r="H385" t="str">
        <f t="shared" si="27"/>
        <v>No</v>
      </c>
      <c r="I385" t="str">
        <f t="shared" si="28"/>
        <v>Lenovo Keyboard</v>
      </c>
      <c r="J385" t="str">
        <f t="shared" si="29"/>
        <v>Unique</v>
      </c>
    </row>
    <row r="386" spans="1:10" x14ac:dyDescent="0.4">
      <c r="A386" s="2" t="s">
        <v>3571</v>
      </c>
      <c r="B386" s="2" t="s">
        <v>1173</v>
      </c>
      <c r="C386" s="2"/>
      <c r="D386" s="2"/>
      <c r="E386" s="2" t="s">
        <v>3198</v>
      </c>
      <c r="F386">
        <f t="shared" si="25"/>
        <v>12999</v>
      </c>
      <c r="G386" t="str">
        <f t="shared" si="26"/>
        <v>Yes</v>
      </c>
      <c r="H386" t="str">
        <f t="shared" si="27"/>
        <v>Missing Price</v>
      </c>
      <c r="I386" t="str">
        <f t="shared" si="28"/>
        <v>Dell Monitor</v>
      </c>
      <c r="J386" t="str">
        <f t="shared" si="29"/>
        <v>Unique</v>
      </c>
    </row>
    <row r="387" spans="1:10" x14ac:dyDescent="0.4">
      <c r="A387" s="2" t="s">
        <v>3572</v>
      </c>
      <c r="B387" s="2" t="s">
        <v>1187</v>
      </c>
      <c r="C387" s="2" t="s">
        <v>3181</v>
      </c>
      <c r="D387" s="2">
        <v>7999</v>
      </c>
      <c r="E387" s="2" t="s">
        <v>3198</v>
      </c>
      <c r="F387">
        <f t="shared" ref="F387:F450" si="30">IF(D387="",MEDIAN($D$2:$D$501),D387)</f>
        <v>7999</v>
      </c>
      <c r="G387" t="str">
        <f t="shared" ref="G387:G450" si="31">PROPER(E387)</f>
        <v>Yes</v>
      </c>
      <c r="H387" t="str">
        <f t="shared" ref="H387:H450" si="32">IF(ISBLANK(D387),"Missing Price","No")</f>
        <v>No</v>
      </c>
      <c r="I387" t="str">
        <f t="shared" ref="I387:I450" si="33">PROPER(B387)</f>
        <v>Apple Ipad</v>
      </c>
      <c r="J387" t="str">
        <f t="shared" ref="J387:J450" si="34">IF(COUNTIF($A$2:$A$501,A387)&gt;1,"Duplicate","Unique")</f>
        <v>Unique</v>
      </c>
    </row>
    <row r="388" spans="1:10" x14ac:dyDescent="0.4">
      <c r="A388" s="2" t="s">
        <v>3573</v>
      </c>
      <c r="B388" s="2" t="s">
        <v>1180</v>
      </c>
      <c r="C388" s="2" t="s">
        <v>3181</v>
      </c>
      <c r="D388" s="2">
        <v>15999</v>
      </c>
      <c r="E388" s="2" t="s">
        <v>3198</v>
      </c>
      <c r="F388">
        <f t="shared" si="30"/>
        <v>15999</v>
      </c>
      <c r="G388" t="str">
        <f t="shared" si="31"/>
        <v>Yes</v>
      </c>
      <c r="H388" t="str">
        <f t="shared" si="32"/>
        <v>No</v>
      </c>
      <c r="I388" t="str">
        <f t="shared" si="33"/>
        <v>Canon Printer</v>
      </c>
      <c r="J388" t="str">
        <f t="shared" si="34"/>
        <v>Unique</v>
      </c>
    </row>
    <row r="389" spans="1:10" x14ac:dyDescent="0.4">
      <c r="A389" s="2" t="s">
        <v>3574</v>
      </c>
      <c r="B389" s="2" t="s">
        <v>1175</v>
      </c>
      <c r="C389" s="2" t="s">
        <v>3181</v>
      </c>
      <c r="D389" s="2">
        <v>12999</v>
      </c>
      <c r="E389" s="2" t="s">
        <v>3182</v>
      </c>
      <c r="F389">
        <f t="shared" si="30"/>
        <v>12999</v>
      </c>
      <c r="G389" t="str">
        <f t="shared" si="31"/>
        <v>No</v>
      </c>
      <c r="H389" t="str">
        <f t="shared" si="32"/>
        <v>No</v>
      </c>
      <c r="I389" t="str">
        <f t="shared" si="33"/>
        <v>Hp Laptop</v>
      </c>
      <c r="J389" t="str">
        <f t="shared" si="34"/>
        <v>Unique</v>
      </c>
    </row>
    <row r="390" spans="1:10" x14ac:dyDescent="0.4">
      <c r="A390" s="2" t="s">
        <v>3575</v>
      </c>
      <c r="B390" s="2" t="s">
        <v>1175</v>
      </c>
      <c r="C390" s="2" t="s">
        <v>3184</v>
      </c>
      <c r="D390" s="2">
        <v>12999</v>
      </c>
      <c r="E390" s="2" t="s">
        <v>3182</v>
      </c>
      <c r="F390">
        <f t="shared" si="30"/>
        <v>12999</v>
      </c>
      <c r="G390" t="str">
        <f t="shared" si="31"/>
        <v>No</v>
      </c>
      <c r="H390" t="str">
        <f t="shared" si="32"/>
        <v>No</v>
      </c>
      <c r="I390" t="str">
        <f t="shared" si="33"/>
        <v>Hp Laptop</v>
      </c>
      <c r="J390" t="str">
        <f t="shared" si="34"/>
        <v>Unique</v>
      </c>
    </row>
    <row r="391" spans="1:10" x14ac:dyDescent="0.4">
      <c r="A391" s="2" t="s">
        <v>3576</v>
      </c>
      <c r="B391" s="2" t="s">
        <v>1173</v>
      </c>
      <c r="C391" s="2" t="s">
        <v>3184</v>
      </c>
      <c r="D391" s="2">
        <v>15999</v>
      </c>
      <c r="E391" s="2" t="s">
        <v>3198</v>
      </c>
      <c r="F391">
        <f t="shared" si="30"/>
        <v>15999</v>
      </c>
      <c r="G391" t="str">
        <f t="shared" si="31"/>
        <v>Yes</v>
      </c>
      <c r="H391" t="str">
        <f t="shared" si="32"/>
        <v>No</v>
      </c>
      <c r="I391" t="str">
        <f t="shared" si="33"/>
        <v>Dell Monitor</v>
      </c>
      <c r="J391" t="str">
        <f t="shared" si="34"/>
        <v>Unique</v>
      </c>
    </row>
    <row r="392" spans="1:10" x14ac:dyDescent="0.4">
      <c r="A392" s="2" t="s">
        <v>3577</v>
      </c>
      <c r="B392" s="2" t="s">
        <v>1180</v>
      </c>
      <c r="C392" s="2" t="s">
        <v>3181</v>
      </c>
      <c r="D392" s="2">
        <v>12999</v>
      </c>
      <c r="E392" s="2" t="s">
        <v>3185</v>
      </c>
      <c r="F392">
        <f t="shared" si="30"/>
        <v>12999</v>
      </c>
      <c r="G392" t="str">
        <f t="shared" si="31"/>
        <v>Yes</v>
      </c>
      <c r="H392" t="str">
        <f t="shared" si="32"/>
        <v>No</v>
      </c>
      <c r="I392" t="str">
        <f t="shared" si="33"/>
        <v>Canon Printer</v>
      </c>
      <c r="J392" t="str">
        <f t="shared" si="34"/>
        <v>Unique</v>
      </c>
    </row>
    <row r="393" spans="1:10" x14ac:dyDescent="0.4">
      <c r="A393" s="2" t="s">
        <v>3578</v>
      </c>
      <c r="B393" s="2" t="s">
        <v>1171</v>
      </c>
      <c r="C393" s="2" t="s">
        <v>3189</v>
      </c>
      <c r="D393" s="2">
        <v>4999</v>
      </c>
      <c r="E393" s="2" t="s">
        <v>3198</v>
      </c>
      <c r="F393">
        <f t="shared" si="30"/>
        <v>4999</v>
      </c>
      <c r="G393" t="str">
        <f t="shared" si="31"/>
        <v>Yes</v>
      </c>
      <c r="H393" t="str">
        <f t="shared" si="32"/>
        <v>No</v>
      </c>
      <c r="I393" t="str">
        <f t="shared" si="33"/>
        <v>Asus Mouse</v>
      </c>
      <c r="J393" t="str">
        <f t="shared" si="34"/>
        <v>Unique</v>
      </c>
    </row>
    <row r="394" spans="1:10" x14ac:dyDescent="0.4">
      <c r="A394" s="2" t="s">
        <v>3579</v>
      </c>
      <c r="B394" s="2" t="s">
        <v>1175</v>
      </c>
      <c r="C394" s="2" t="s">
        <v>3181</v>
      </c>
      <c r="D394" s="2">
        <v>15999</v>
      </c>
      <c r="E394" s="2" t="s">
        <v>3198</v>
      </c>
      <c r="F394">
        <f t="shared" si="30"/>
        <v>15999</v>
      </c>
      <c r="G394" t="str">
        <f t="shared" si="31"/>
        <v>Yes</v>
      </c>
      <c r="H394" t="str">
        <f t="shared" si="32"/>
        <v>No</v>
      </c>
      <c r="I394" t="str">
        <f t="shared" si="33"/>
        <v>Hp Laptop</v>
      </c>
      <c r="J394" t="str">
        <f t="shared" si="34"/>
        <v>Unique</v>
      </c>
    </row>
    <row r="395" spans="1:10" x14ac:dyDescent="0.4">
      <c r="A395" s="2" t="s">
        <v>3580</v>
      </c>
      <c r="B395" s="2" t="s">
        <v>1171</v>
      </c>
      <c r="C395" s="2" t="s">
        <v>3181</v>
      </c>
      <c r="D395" s="2">
        <v>4999</v>
      </c>
      <c r="E395" s="2" t="s">
        <v>3182</v>
      </c>
      <c r="F395">
        <f t="shared" si="30"/>
        <v>4999</v>
      </c>
      <c r="G395" t="str">
        <f t="shared" si="31"/>
        <v>No</v>
      </c>
      <c r="H395" t="str">
        <f t="shared" si="32"/>
        <v>No</v>
      </c>
      <c r="I395" t="str">
        <f t="shared" si="33"/>
        <v>Asus Mouse</v>
      </c>
      <c r="J395" t="str">
        <f t="shared" si="34"/>
        <v>Unique</v>
      </c>
    </row>
    <row r="396" spans="1:10" x14ac:dyDescent="0.4">
      <c r="A396" s="2" t="s">
        <v>3581</v>
      </c>
      <c r="B396" s="2" t="s">
        <v>1180</v>
      </c>
      <c r="C396" s="2" t="s">
        <v>3184</v>
      </c>
      <c r="D396" s="2">
        <v>15999</v>
      </c>
      <c r="E396" s="2" t="s">
        <v>3185</v>
      </c>
      <c r="F396">
        <f t="shared" si="30"/>
        <v>15999</v>
      </c>
      <c r="G396" t="str">
        <f t="shared" si="31"/>
        <v>Yes</v>
      </c>
      <c r="H396" t="str">
        <f t="shared" si="32"/>
        <v>No</v>
      </c>
      <c r="I396" t="str">
        <f t="shared" si="33"/>
        <v>Canon Printer</v>
      </c>
      <c r="J396" t="str">
        <f t="shared" si="34"/>
        <v>Unique</v>
      </c>
    </row>
    <row r="397" spans="1:10" x14ac:dyDescent="0.4">
      <c r="A397" s="2" t="s">
        <v>3582</v>
      </c>
      <c r="B397" s="2" t="s">
        <v>1175</v>
      </c>
      <c r="C397" s="2"/>
      <c r="D397" s="2">
        <v>4999</v>
      </c>
      <c r="E397" s="2"/>
      <c r="F397">
        <f t="shared" si="30"/>
        <v>4999</v>
      </c>
      <c r="G397" t="str">
        <f t="shared" si="31"/>
        <v/>
      </c>
      <c r="H397" t="str">
        <f t="shared" si="32"/>
        <v>No</v>
      </c>
      <c r="I397" t="str">
        <f t="shared" si="33"/>
        <v>Hp Laptop</v>
      </c>
      <c r="J397" t="str">
        <f t="shared" si="34"/>
        <v>Unique</v>
      </c>
    </row>
    <row r="398" spans="1:10" x14ac:dyDescent="0.4">
      <c r="A398" s="2" t="s">
        <v>3583</v>
      </c>
      <c r="B398" s="2" t="s">
        <v>1182</v>
      </c>
      <c r="C398" s="2" t="s">
        <v>3181</v>
      </c>
      <c r="D398" s="2">
        <v>12999</v>
      </c>
      <c r="E398" s="2" t="s">
        <v>3185</v>
      </c>
      <c r="F398">
        <f t="shared" si="30"/>
        <v>12999</v>
      </c>
      <c r="G398" t="str">
        <f t="shared" si="31"/>
        <v>Yes</v>
      </c>
      <c r="H398" t="str">
        <f t="shared" si="32"/>
        <v>No</v>
      </c>
      <c r="I398" t="str">
        <f t="shared" si="33"/>
        <v>Lenovo Keyboard</v>
      </c>
      <c r="J398" t="str">
        <f t="shared" si="34"/>
        <v>Unique</v>
      </c>
    </row>
    <row r="399" spans="1:10" x14ac:dyDescent="0.4">
      <c r="A399" s="2" t="s">
        <v>3584</v>
      </c>
      <c r="B399" s="2" t="s">
        <v>1187</v>
      </c>
      <c r="C399" s="2" t="s">
        <v>3181</v>
      </c>
      <c r="D399" s="2">
        <v>12999</v>
      </c>
      <c r="E399" s="2" t="s">
        <v>3182</v>
      </c>
      <c r="F399">
        <f t="shared" si="30"/>
        <v>12999</v>
      </c>
      <c r="G399" t="str">
        <f t="shared" si="31"/>
        <v>No</v>
      </c>
      <c r="H399" t="str">
        <f t="shared" si="32"/>
        <v>No</v>
      </c>
      <c r="I399" t="str">
        <f t="shared" si="33"/>
        <v>Apple Ipad</v>
      </c>
      <c r="J399" t="str">
        <f t="shared" si="34"/>
        <v>Unique</v>
      </c>
    </row>
    <row r="400" spans="1:10" x14ac:dyDescent="0.4">
      <c r="A400" s="2" t="s">
        <v>3585</v>
      </c>
      <c r="B400" s="2" t="s">
        <v>1180</v>
      </c>
      <c r="C400" s="2" t="s">
        <v>3184</v>
      </c>
      <c r="D400" s="2"/>
      <c r="E400" s="2"/>
      <c r="F400">
        <f t="shared" si="30"/>
        <v>12999</v>
      </c>
      <c r="G400" t="str">
        <f t="shared" si="31"/>
        <v/>
      </c>
      <c r="H400" t="str">
        <f t="shared" si="32"/>
        <v>Missing Price</v>
      </c>
      <c r="I400" t="str">
        <f t="shared" si="33"/>
        <v>Canon Printer</v>
      </c>
      <c r="J400" t="str">
        <f t="shared" si="34"/>
        <v>Unique</v>
      </c>
    </row>
    <row r="401" spans="1:10" x14ac:dyDescent="0.4">
      <c r="A401" s="2" t="s">
        <v>3586</v>
      </c>
      <c r="B401" s="2" t="s">
        <v>1171</v>
      </c>
      <c r="C401" s="2" t="s">
        <v>3181</v>
      </c>
      <c r="D401" s="2">
        <v>7999</v>
      </c>
      <c r="E401" s="2" t="s">
        <v>3182</v>
      </c>
      <c r="F401">
        <f t="shared" si="30"/>
        <v>7999</v>
      </c>
      <c r="G401" t="str">
        <f t="shared" si="31"/>
        <v>No</v>
      </c>
      <c r="H401" t="str">
        <f t="shared" si="32"/>
        <v>No</v>
      </c>
      <c r="I401" t="str">
        <f t="shared" si="33"/>
        <v>Asus Mouse</v>
      </c>
      <c r="J401" t="str">
        <f t="shared" si="34"/>
        <v>Unique</v>
      </c>
    </row>
    <row r="402" spans="1:10" x14ac:dyDescent="0.4">
      <c r="A402" s="2" t="s">
        <v>3587</v>
      </c>
      <c r="B402" s="2" t="s">
        <v>1182</v>
      </c>
      <c r="C402" s="2"/>
      <c r="D402" s="2">
        <v>4999</v>
      </c>
      <c r="E402" s="2" t="s">
        <v>3198</v>
      </c>
      <c r="F402">
        <f t="shared" si="30"/>
        <v>4999</v>
      </c>
      <c r="G402" t="str">
        <f t="shared" si="31"/>
        <v>Yes</v>
      </c>
      <c r="H402" t="str">
        <f t="shared" si="32"/>
        <v>No</v>
      </c>
      <c r="I402" t="str">
        <f t="shared" si="33"/>
        <v>Lenovo Keyboard</v>
      </c>
      <c r="J402" t="str">
        <f t="shared" si="34"/>
        <v>Unique</v>
      </c>
    </row>
    <row r="403" spans="1:10" x14ac:dyDescent="0.4">
      <c r="A403" s="2" t="s">
        <v>3588</v>
      </c>
      <c r="B403" s="2" t="s">
        <v>1180</v>
      </c>
      <c r="C403" s="2" t="s">
        <v>3181</v>
      </c>
      <c r="D403" s="2">
        <v>19999</v>
      </c>
      <c r="E403" s="2"/>
      <c r="F403">
        <f t="shared" si="30"/>
        <v>19999</v>
      </c>
      <c r="G403" t="str">
        <f t="shared" si="31"/>
        <v/>
      </c>
      <c r="H403" t="str">
        <f t="shared" si="32"/>
        <v>No</v>
      </c>
      <c r="I403" t="str">
        <f t="shared" si="33"/>
        <v>Canon Printer</v>
      </c>
      <c r="J403" t="str">
        <f t="shared" si="34"/>
        <v>Unique</v>
      </c>
    </row>
    <row r="404" spans="1:10" x14ac:dyDescent="0.4">
      <c r="A404" s="2" t="s">
        <v>3589</v>
      </c>
      <c r="B404" s="2" t="s">
        <v>1175</v>
      </c>
      <c r="C404" s="2" t="s">
        <v>3189</v>
      </c>
      <c r="D404" s="2">
        <v>15999</v>
      </c>
      <c r="E404" s="2" t="s">
        <v>3182</v>
      </c>
      <c r="F404">
        <f t="shared" si="30"/>
        <v>15999</v>
      </c>
      <c r="G404" t="str">
        <f t="shared" si="31"/>
        <v>No</v>
      </c>
      <c r="H404" t="str">
        <f t="shared" si="32"/>
        <v>No</v>
      </c>
      <c r="I404" t="str">
        <f t="shared" si="33"/>
        <v>Hp Laptop</v>
      </c>
      <c r="J404" t="str">
        <f t="shared" si="34"/>
        <v>Unique</v>
      </c>
    </row>
    <row r="405" spans="1:10" x14ac:dyDescent="0.4">
      <c r="A405" s="2" t="s">
        <v>3590</v>
      </c>
      <c r="B405" s="2" t="s">
        <v>1187</v>
      </c>
      <c r="C405" s="2" t="s">
        <v>3187</v>
      </c>
      <c r="D405" s="2">
        <v>12999</v>
      </c>
      <c r="E405" s="2" t="s">
        <v>3198</v>
      </c>
      <c r="F405">
        <f t="shared" si="30"/>
        <v>12999</v>
      </c>
      <c r="G405" t="str">
        <f t="shared" si="31"/>
        <v>Yes</v>
      </c>
      <c r="H405" t="str">
        <f t="shared" si="32"/>
        <v>No</v>
      </c>
      <c r="I405" t="str">
        <f t="shared" si="33"/>
        <v>Apple Ipad</v>
      </c>
      <c r="J405" t="str">
        <f t="shared" si="34"/>
        <v>Unique</v>
      </c>
    </row>
    <row r="406" spans="1:10" x14ac:dyDescent="0.4">
      <c r="A406" s="2" t="s">
        <v>3591</v>
      </c>
      <c r="B406" s="2" t="s">
        <v>1182</v>
      </c>
      <c r="C406" s="2" t="s">
        <v>3184</v>
      </c>
      <c r="D406" s="2">
        <v>12999</v>
      </c>
      <c r="E406" s="2" t="s">
        <v>3182</v>
      </c>
      <c r="F406">
        <f t="shared" si="30"/>
        <v>12999</v>
      </c>
      <c r="G406" t="str">
        <f t="shared" si="31"/>
        <v>No</v>
      </c>
      <c r="H406" t="str">
        <f t="shared" si="32"/>
        <v>No</v>
      </c>
      <c r="I406" t="str">
        <f t="shared" si="33"/>
        <v>Lenovo Keyboard</v>
      </c>
      <c r="J406" t="str">
        <f t="shared" si="34"/>
        <v>Unique</v>
      </c>
    </row>
    <row r="407" spans="1:10" x14ac:dyDescent="0.4">
      <c r="A407" s="2" t="s">
        <v>3592</v>
      </c>
      <c r="B407" s="2" t="s">
        <v>1187</v>
      </c>
      <c r="C407" s="2" t="s">
        <v>3184</v>
      </c>
      <c r="D407" s="2">
        <v>15999</v>
      </c>
      <c r="E407" s="2" t="s">
        <v>3185</v>
      </c>
      <c r="F407">
        <f t="shared" si="30"/>
        <v>15999</v>
      </c>
      <c r="G407" t="str">
        <f t="shared" si="31"/>
        <v>Yes</v>
      </c>
      <c r="H407" t="str">
        <f t="shared" si="32"/>
        <v>No</v>
      </c>
      <c r="I407" t="str">
        <f t="shared" si="33"/>
        <v>Apple Ipad</v>
      </c>
      <c r="J407" t="str">
        <f t="shared" si="34"/>
        <v>Unique</v>
      </c>
    </row>
    <row r="408" spans="1:10" x14ac:dyDescent="0.4">
      <c r="A408" s="2" t="s">
        <v>3593</v>
      </c>
      <c r="B408" s="2" t="s">
        <v>1175</v>
      </c>
      <c r="C408" s="2" t="s">
        <v>3187</v>
      </c>
      <c r="D408" s="2">
        <v>7999</v>
      </c>
      <c r="E408" s="2" t="s">
        <v>3182</v>
      </c>
      <c r="F408">
        <f t="shared" si="30"/>
        <v>7999</v>
      </c>
      <c r="G408" t="str">
        <f t="shared" si="31"/>
        <v>No</v>
      </c>
      <c r="H408" t="str">
        <f t="shared" si="32"/>
        <v>No</v>
      </c>
      <c r="I408" t="str">
        <f t="shared" si="33"/>
        <v>Hp Laptop</v>
      </c>
      <c r="J408" t="str">
        <f t="shared" si="34"/>
        <v>Unique</v>
      </c>
    </row>
    <row r="409" spans="1:10" x14ac:dyDescent="0.4">
      <c r="A409" s="2" t="s">
        <v>3594</v>
      </c>
      <c r="B409" s="2" t="s">
        <v>1180</v>
      </c>
      <c r="C409" s="2" t="s">
        <v>3187</v>
      </c>
      <c r="D409" s="2">
        <v>15999</v>
      </c>
      <c r="E409" s="2" t="s">
        <v>3185</v>
      </c>
      <c r="F409">
        <f t="shared" si="30"/>
        <v>15999</v>
      </c>
      <c r="G409" t="str">
        <f t="shared" si="31"/>
        <v>Yes</v>
      </c>
      <c r="H409" t="str">
        <f t="shared" si="32"/>
        <v>No</v>
      </c>
      <c r="I409" t="str">
        <f t="shared" si="33"/>
        <v>Canon Printer</v>
      </c>
      <c r="J409" t="str">
        <f t="shared" si="34"/>
        <v>Unique</v>
      </c>
    </row>
    <row r="410" spans="1:10" x14ac:dyDescent="0.4">
      <c r="A410" s="2" t="s">
        <v>3595</v>
      </c>
      <c r="B410" s="2" t="s">
        <v>1175</v>
      </c>
      <c r="C410" s="2" t="s">
        <v>3184</v>
      </c>
      <c r="D410" s="2">
        <v>19999</v>
      </c>
      <c r="E410" s="2" t="s">
        <v>3182</v>
      </c>
      <c r="F410">
        <f t="shared" si="30"/>
        <v>19999</v>
      </c>
      <c r="G410" t="str">
        <f t="shared" si="31"/>
        <v>No</v>
      </c>
      <c r="H410" t="str">
        <f t="shared" si="32"/>
        <v>No</v>
      </c>
      <c r="I410" t="str">
        <f t="shared" si="33"/>
        <v>Hp Laptop</v>
      </c>
      <c r="J410" t="str">
        <f t="shared" si="34"/>
        <v>Unique</v>
      </c>
    </row>
    <row r="411" spans="1:10" x14ac:dyDescent="0.4">
      <c r="A411" s="2" t="s">
        <v>3596</v>
      </c>
      <c r="B411" s="2" t="s">
        <v>1182</v>
      </c>
      <c r="C411" s="2" t="s">
        <v>3189</v>
      </c>
      <c r="D411" s="2">
        <v>4999</v>
      </c>
      <c r="E411" s="2" t="s">
        <v>3198</v>
      </c>
      <c r="F411">
        <f t="shared" si="30"/>
        <v>4999</v>
      </c>
      <c r="G411" t="str">
        <f t="shared" si="31"/>
        <v>Yes</v>
      </c>
      <c r="H411" t="str">
        <f t="shared" si="32"/>
        <v>No</v>
      </c>
      <c r="I411" t="str">
        <f t="shared" si="33"/>
        <v>Lenovo Keyboard</v>
      </c>
      <c r="J411" t="str">
        <f t="shared" si="34"/>
        <v>Unique</v>
      </c>
    </row>
    <row r="412" spans="1:10" x14ac:dyDescent="0.4">
      <c r="A412" s="2" t="s">
        <v>3597</v>
      </c>
      <c r="B412" s="2" t="s">
        <v>1175</v>
      </c>
      <c r="C412" s="2" t="s">
        <v>3184</v>
      </c>
      <c r="D412" s="2">
        <v>4999</v>
      </c>
      <c r="E412" s="2" t="s">
        <v>3185</v>
      </c>
      <c r="F412">
        <f t="shared" si="30"/>
        <v>4999</v>
      </c>
      <c r="G412" t="str">
        <f t="shared" si="31"/>
        <v>Yes</v>
      </c>
      <c r="H412" t="str">
        <f t="shared" si="32"/>
        <v>No</v>
      </c>
      <c r="I412" t="str">
        <f t="shared" si="33"/>
        <v>Hp Laptop</v>
      </c>
      <c r="J412" t="str">
        <f t="shared" si="34"/>
        <v>Unique</v>
      </c>
    </row>
    <row r="413" spans="1:10" x14ac:dyDescent="0.4">
      <c r="A413" s="2" t="s">
        <v>3598</v>
      </c>
      <c r="B413" s="2" t="s">
        <v>1173</v>
      </c>
      <c r="C413" s="2" t="s">
        <v>3187</v>
      </c>
      <c r="D413" s="2">
        <v>19999</v>
      </c>
      <c r="E413" s="2" t="s">
        <v>3185</v>
      </c>
      <c r="F413">
        <f t="shared" si="30"/>
        <v>19999</v>
      </c>
      <c r="G413" t="str">
        <f t="shared" si="31"/>
        <v>Yes</v>
      </c>
      <c r="H413" t="str">
        <f t="shared" si="32"/>
        <v>No</v>
      </c>
      <c r="I413" t="str">
        <f t="shared" si="33"/>
        <v>Dell Monitor</v>
      </c>
      <c r="J413" t="str">
        <f t="shared" si="34"/>
        <v>Unique</v>
      </c>
    </row>
    <row r="414" spans="1:10" x14ac:dyDescent="0.4">
      <c r="A414" s="2" t="s">
        <v>3599</v>
      </c>
      <c r="B414" s="2" t="s">
        <v>1187</v>
      </c>
      <c r="C414" s="2" t="s">
        <v>3181</v>
      </c>
      <c r="D414" s="2">
        <v>19999</v>
      </c>
      <c r="E414" s="2" t="s">
        <v>3198</v>
      </c>
      <c r="F414">
        <f t="shared" si="30"/>
        <v>19999</v>
      </c>
      <c r="G414" t="str">
        <f t="shared" si="31"/>
        <v>Yes</v>
      </c>
      <c r="H414" t="str">
        <f t="shared" si="32"/>
        <v>No</v>
      </c>
      <c r="I414" t="str">
        <f t="shared" si="33"/>
        <v>Apple Ipad</v>
      </c>
      <c r="J414" t="str">
        <f t="shared" si="34"/>
        <v>Unique</v>
      </c>
    </row>
    <row r="415" spans="1:10" x14ac:dyDescent="0.4">
      <c r="A415" s="2" t="s">
        <v>3600</v>
      </c>
      <c r="B415" s="2" t="s">
        <v>1175</v>
      </c>
      <c r="C415" s="2" t="s">
        <v>3181</v>
      </c>
      <c r="D415" s="2"/>
      <c r="E415" s="2" t="s">
        <v>3185</v>
      </c>
      <c r="F415">
        <f t="shared" si="30"/>
        <v>12999</v>
      </c>
      <c r="G415" t="str">
        <f t="shared" si="31"/>
        <v>Yes</v>
      </c>
      <c r="H415" t="str">
        <f t="shared" si="32"/>
        <v>Missing Price</v>
      </c>
      <c r="I415" t="str">
        <f t="shared" si="33"/>
        <v>Hp Laptop</v>
      </c>
      <c r="J415" t="str">
        <f t="shared" si="34"/>
        <v>Unique</v>
      </c>
    </row>
    <row r="416" spans="1:10" x14ac:dyDescent="0.4">
      <c r="A416" s="2" t="s">
        <v>3601</v>
      </c>
      <c r="B416" s="2" t="s">
        <v>1175</v>
      </c>
      <c r="C416" s="2"/>
      <c r="D416" s="2">
        <v>19999</v>
      </c>
      <c r="E416" s="2" t="s">
        <v>3182</v>
      </c>
      <c r="F416">
        <f t="shared" si="30"/>
        <v>19999</v>
      </c>
      <c r="G416" t="str">
        <f t="shared" si="31"/>
        <v>No</v>
      </c>
      <c r="H416" t="str">
        <f t="shared" si="32"/>
        <v>No</v>
      </c>
      <c r="I416" t="str">
        <f t="shared" si="33"/>
        <v>Hp Laptop</v>
      </c>
      <c r="J416" t="str">
        <f t="shared" si="34"/>
        <v>Unique</v>
      </c>
    </row>
    <row r="417" spans="1:10" x14ac:dyDescent="0.4">
      <c r="A417" s="2" t="s">
        <v>3602</v>
      </c>
      <c r="B417" s="2" t="s">
        <v>1180</v>
      </c>
      <c r="C417" s="2" t="s">
        <v>3181</v>
      </c>
      <c r="D417" s="2">
        <v>19999</v>
      </c>
      <c r="E417" s="2" t="s">
        <v>3182</v>
      </c>
      <c r="F417">
        <f t="shared" si="30"/>
        <v>19999</v>
      </c>
      <c r="G417" t="str">
        <f t="shared" si="31"/>
        <v>No</v>
      </c>
      <c r="H417" t="str">
        <f t="shared" si="32"/>
        <v>No</v>
      </c>
      <c r="I417" t="str">
        <f t="shared" si="33"/>
        <v>Canon Printer</v>
      </c>
      <c r="J417" t="str">
        <f t="shared" si="34"/>
        <v>Unique</v>
      </c>
    </row>
    <row r="418" spans="1:10" x14ac:dyDescent="0.4">
      <c r="A418" s="2" t="s">
        <v>3603</v>
      </c>
      <c r="B418" s="2" t="s">
        <v>1173</v>
      </c>
      <c r="C418" s="2" t="s">
        <v>3189</v>
      </c>
      <c r="D418" s="2">
        <v>15999</v>
      </c>
      <c r="E418" s="2" t="s">
        <v>3185</v>
      </c>
      <c r="F418">
        <f t="shared" si="30"/>
        <v>15999</v>
      </c>
      <c r="G418" t="str">
        <f t="shared" si="31"/>
        <v>Yes</v>
      </c>
      <c r="H418" t="str">
        <f t="shared" si="32"/>
        <v>No</v>
      </c>
      <c r="I418" t="str">
        <f t="shared" si="33"/>
        <v>Dell Monitor</v>
      </c>
      <c r="J418" t="str">
        <f t="shared" si="34"/>
        <v>Unique</v>
      </c>
    </row>
    <row r="419" spans="1:10" x14ac:dyDescent="0.4">
      <c r="A419" s="2" t="s">
        <v>3604</v>
      </c>
      <c r="B419" s="2" t="s">
        <v>1187</v>
      </c>
      <c r="C419" s="2" t="s">
        <v>3184</v>
      </c>
      <c r="D419" s="2">
        <v>12999</v>
      </c>
      <c r="E419" s="2" t="s">
        <v>3182</v>
      </c>
      <c r="F419">
        <f t="shared" si="30"/>
        <v>12999</v>
      </c>
      <c r="G419" t="str">
        <f t="shared" si="31"/>
        <v>No</v>
      </c>
      <c r="H419" t="str">
        <f t="shared" si="32"/>
        <v>No</v>
      </c>
      <c r="I419" t="str">
        <f t="shared" si="33"/>
        <v>Apple Ipad</v>
      </c>
      <c r="J419" t="str">
        <f t="shared" si="34"/>
        <v>Unique</v>
      </c>
    </row>
    <row r="420" spans="1:10" x14ac:dyDescent="0.4">
      <c r="A420" s="2" t="s">
        <v>3605</v>
      </c>
      <c r="B420" s="2" t="s">
        <v>1171</v>
      </c>
      <c r="C420" s="2"/>
      <c r="D420" s="2"/>
      <c r="E420" s="2" t="s">
        <v>3185</v>
      </c>
      <c r="F420">
        <f t="shared" si="30"/>
        <v>12999</v>
      </c>
      <c r="G420" t="str">
        <f t="shared" si="31"/>
        <v>Yes</v>
      </c>
      <c r="H420" t="str">
        <f t="shared" si="32"/>
        <v>Missing Price</v>
      </c>
      <c r="I420" t="str">
        <f t="shared" si="33"/>
        <v>Asus Mouse</v>
      </c>
      <c r="J420" t="str">
        <f t="shared" si="34"/>
        <v>Unique</v>
      </c>
    </row>
    <row r="421" spans="1:10" x14ac:dyDescent="0.4">
      <c r="A421" s="2" t="s">
        <v>3606</v>
      </c>
      <c r="B421" s="2" t="s">
        <v>1173</v>
      </c>
      <c r="C421" s="2" t="s">
        <v>3184</v>
      </c>
      <c r="D421" s="2">
        <v>15999</v>
      </c>
      <c r="E421" s="2"/>
      <c r="F421">
        <f t="shared" si="30"/>
        <v>15999</v>
      </c>
      <c r="G421" t="str">
        <f t="shared" si="31"/>
        <v/>
      </c>
      <c r="H421" t="str">
        <f t="shared" si="32"/>
        <v>No</v>
      </c>
      <c r="I421" t="str">
        <f t="shared" si="33"/>
        <v>Dell Monitor</v>
      </c>
      <c r="J421" t="str">
        <f t="shared" si="34"/>
        <v>Unique</v>
      </c>
    </row>
    <row r="422" spans="1:10" x14ac:dyDescent="0.4">
      <c r="A422" s="2" t="s">
        <v>3607</v>
      </c>
      <c r="B422" s="2" t="s">
        <v>1173</v>
      </c>
      <c r="C422" s="2" t="s">
        <v>3181</v>
      </c>
      <c r="D422" s="2">
        <v>15999</v>
      </c>
      <c r="E422" s="2" t="s">
        <v>3182</v>
      </c>
      <c r="F422">
        <f t="shared" si="30"/>
        <v>15999</v>
      </c>
      <c r="G422" t="str">
        <f t="shared" si="31"/>
        <v>No</v>
      </c>
      <c r="H422" t="str">
        <f t="shared" si="32"/>
        <v>No</v>
      </c>
      <c r="I422" t="str">
        <f t="shared" si="33"/>
        <v>Dell Monitor</v>
      </c>
      <c r="J422" t="str">
        <f t="shared" si="34"/>
        <v>Unique</v>
      </c>
    </row>
    <row r="423" spans="1:10" x14ac:dyDescent="0.4">
      <c r="A423" s="2" t="s">
        <v>3608</v>
      </c>
      <c r="B423" s="2" t="s">
        <v>1187</v>
      </c>
      <c r="C423" s="2"/>
      <c r="D423" s="2">
        <v>12999</v>
      </c>
      <c r="E423" s="2" t="s">
        <v>3185</v>
      </c>
      <c r="F423">
        <f t="shared" si="30"/>
        <v>12999</v>
      </c>
      <c r="G423" t="str">
        <f t="shared" si="31"/>
        <v>Yes</v>
      </c>
      <c r="H423" t="str">
        <f t="shared" si="32"/>
        <v>No</v>
      </c>
      <c r="I423" t="str">
        <f t="shared" si="33"/>
        <v>Apple Ipad</v>
      </c>
      <c r="J423" t="str">
        <f t="shared" si="34"/>
        <v>Unique</v>
      </c>
    </row>
    <row r="424" spans="1:10" x14ac:dyDescent="0.4">
      <c r="A424" s="2" t="s">
        <v>3609</v>
      </c>
      <c r="B424" s="2" t="s">
        <v>1180</v>
      </c>
      <c r="C424" s="2" t="s">
        <v>3181</v>
      </c>
      <c r="D424" s="2">
        <v>7999</v>
      </c>
      <c r="E424" s="2" t="s">
        <v>3182</v>
      </c>
      <c r="F424">
        <f t="shared" si="30"/>
        <v>7999</v>
      </c>
      <c r="G424" t="str">
        <f t="shared" si="31"/>
        <v>No</v>
      </c>
      <c r="H424" t="str">
        <f t="shared" si="32"/>
        <v>No</v>
      </c>
      <c r="I424" t="str">
        <f t="shared" si="33"/>
        <v>Canon Printer</v>
      </c>
      <c r="J424" t="str">
        <f t="shared" si="34"/>
        <v>Unique</v>
      </c>
    </row>
    <row r="425" spans="1:10" x14ac:dyDescent="0.4">
      <c r="A425" s="2" t="s">
        <v>3610</v>
      </c>
      <c r="B425" s="2" t="s">
        <v>1173</v>
      </c>
      <c r="C425" s="2" t="s">
        <v>3181</v>
      </c>
      <c r="D425" s="2">
        <v>15999</v>
      </c>
      <c r="E425" s="2"/>
      <c r="F425">
        <f t="shared" si="30"/>
        <v>15999</v>
      </c>
      <c r="G425" t="str">
        <f t="shared" si="31"/>
        <v/>
      </c>
      <c r="H425" t="str">
        <f t="shared" si="32"/>
        <v>No</v>
      </c>
      <c r="I425" t="str">
        <f t="shared" si="33"/>
        <v>Dell Monitor</v>
      </c>
      <c r="J425" t="str">
        <f t="shared" si="34"/>
        <v>Unique</v>
      </c>
    </row>
    <row r="426" spans="1:10" x14ac:dyDescent="0.4">
      <c r="A426" s="2" t="s">
        <v>3611</v>
      </c>
      <c r="B426" s="2" t="s">
        <v>1187</v>
      </c>
      <c r="C426" s="2" t="s">
        <v>3189</v>
      </c>
      <c r="D426" s="2"/>
      <c r="E426" s="2"/>
      <c r="F426">
        <f t="shared" si="30"/>
        <v>12999</v>
      </c>
      <c r="G426" t="str">
        <f t="shared" si="31"/>
        <v/>
      </c>
      <c r="H426" t="str">
        <f t="shared" si="32"/>
        <v>Missing Price</v>
      </c>
      <c r="I426" t="str">
        <f t="shared" si="33"/>
        <v>Apple Ipad</v>
      </c>
      <c r="J426" t="str">
        <f t="shared" si="34"/>
        <v>Unique</v>
      </c>
    </row>
    <row r="427" spans="1:10" x14ac:dyDescent="0.4">
      <c r="A427" s="2" t="s">
        <v>3612</v>
      </c>
      <c r="B427" s="2" t="s">
        <v>1180</v>
      </c>
      <c r="C427" s="2" t="s">
        <v>3181</v>
      </c>
      <c r="D427" s="2">
        <v>12999</v>
      </c>
      <c r="E427" s="2" t="s">
        <v>3182</v>
      </c>
      <c r="F427">
        <f t="shared" si="30"/>
        <v>12999</v>
      </c>
      <c r="G427" t="str">
        <f t="shared" si="31"/>
        <v>No</v>
      </c>
      <c r="H427" t="str">
        <f t="shared" si="32"/>
        <v>No</v>
      </c>
      <c r="I427" t="str">
        <f t="shared" si="33"/>
        <v>Canon Printer</v>
      </c>
      <c r="J427" t="str">
        <f t="shared" si="34"/>
        <v>Unique</v>
      </c>
    </row>
    <row r="428" spans="1:10" x14ac:dyDescent="0.4">
      <c r="A428" s="2" t="s">
        <v>3613</v>
      </c>
      <c r="B428" s="2" t="s">
        <v>1173</v>
      </c>
      <c r="C428" s="2"/>
      <c r="D428" s="2">
        <v>4999</v>
      </c>
      <c r="E428" s="2"/>
      <c r="F428">
        <f t="shared" si="30"/>
        <v>4999</v>
      </c>
      <c r="G428" t="str">
        <f t="shared" si="31"/>
        <v/>
      </c>
      <c r="H428" t="str">
        <f t="shared" si="32"/>
        <v>No</v>
      </c>
      <c r="I428" t="str">
        <f t="shared" si="33"/>
        <v>Dell Monitor</v>
      </c>
      <c r="J428" t="str">
        <f t="shared" si="34"/>
        <v>Unique</v>
      </c>
    </row>
    <row r="429" spans="1:10" x14ac:dyDescent="0.4">
      <c r="A429" s="2" t="s">
        <v>3614</v>
      </c>
      <c r="B429" s="2" t="s">
        <v>1187</v>
      </c>
      <c r="C429" s="2" t="s">
        <v>3181</v>
      </c>
      <c r="D429" s="2">
        <v>7999</v>
      </c>
      <c r="E429" s="2" t="s">
        <v>3182</v>
      </c>
      <c r="F429">
        <f t="shared" si="30"/>
        <v>7999</v>
      </c>
      <c r="G429" t="str">
        <f t="shared" si="31"/>
        <v>No</v>
      </c>
      <c r="H429" t="str">
        <f t="shared" si="32"/>
        <v>No</v>
      </c>
      <c r="I429" t="str">
        <f t="shared" si="33"/>
        <v>Apple Ipad</v>
      </c>
      <c r="J429" t="str">
        <f t="shared" si="34"/>
        <v>Unique</v>
      </c>
    </row>
    <row r="430" spans="1:10" x14ac:dyDescent="0.4">
      <c r="A430" s="2" t="s">
        <v>3615</v>
      </c>
      <c r="B430" s="2" t="s">
        <v>1180</v>
      </c>
      <c r="C430" s="2" t="s">
        <v>3189</v>
      </c>
      <c r="D430" s="2">
        <v>12999</v>
      </c>
      <c r="E430" s="2" t="s">
        <v>3198</v>
      </c>
      <c r="F430">
        <f t="shared" si="30"/>
        <v>12999</v>
      </c>
      <c r="G430" t="str">
        <f t="shared" si="31"/>
        <v>Yes</v>
      </c>
      <c r="H430" t="str">
        <f t="shared" si="32"/>
        <v>No</v>
      </c>
      <c r="I430" t="str">
        <f t="shared" si="33"/>
        <v>Canon Printer</v>
      </c>
      <c r="J430" t="str">
        <f t="shared" si="34"/>
        <v>Unique</v>
      </c>
    </row>
    <row r="431" spans="1:10" x14ac:dyDescent="0.4">
      <c r="A431" s="2" t="s">
        <v>3616</v>
      </c>
      <c r="B431" s="2" t="s">
        <v>1187</v>
      </c>
      <c r="C431" s="2" t="s">
        <v>3184</v>
      </c>
      <c r="D431" s="2"/>
      <c r="E431" s="2" t="s">
        <v>3198</v>
      </c>
      <c r="F431">
        <f t="shared" si="30"/>
        <v>12999</v>
      </c>
      <c r="G431" t="str">
        <f t="shared" si="31"/>
        <v>Yes</v>
      </c>
      <c r="H431" t="str">
        <f t="shared" si="32"/>
        <v>Missing Price</v>
      </c>
      <c r="I431" t="str">
        <f t="shared" si="33"/>
        <v>Apple Ipad</v>
      </c>
      <c r="J431" t="str">
        <f t="shared" si="34"/>
        <v>Unique</v>
      </c>
    </row>
    <row r="432" spans="1:10" x14ac:dyDescent="0.4">
      <c r="A432" s="2" t="s">
        <v>3617</v>
      </c>
      <c r="B432" s="2" t="s">
        <v>1171</v>
      </c>
      <c r="C432" s="2" t="s">
        <v>3184</v>
      </c>
      <c r="D432" s="2">
        <v>15999</v>
      </c>
      <c r="E432" s="2"/>
      <c r="F432">
        <f t="shared" si="30"/>
        <v>15999</v>
      </c>
      <c r="G432" t="str">
        <f t="shared" si="31"/>
        <v/>
      </c>
      <c r="H432" t="str">
        <f t="shared" si="32"/>
        <v>No</v>
      </c>
      <c r="I432" t="str">
        <f t="shared" si="33"/>
        <v>Asus Mouse</v>
      </c>
      <c r="J432" t="str">
        <f t="shared" si="34"/>
        <v>Unique</v>
      </c>
    </row>
    <row r="433" spans="1:10" x14ac:dyDescent="0.4">
      <c r="A433" s="2" t="s">
        <v>3618</v>
      </c>
      <c r="B433" s="2" t="s">
        <v>1180</v>
      </c>
      <c r="C433" s="2" t="s">
        <v>3187</v>
      </c>
      <c r="D433" s="2"/>
      <c r="E433" s="2" t="s">
        <v>3182</v>
      </c>
      <c r="F433">
        <f t="shared" si="30"/>
        <v>12999</v>
      </c>
      <c r="G433" t="str">
        <f t="shared" si="31"/>
        <v>No</v>
      </c>
      <c r="H433" t="str">
        <f t="shared" si="32"/>
        <v>Missing Price</v>
      </c>
      <c r="I433" t="str">
        <f t="shared" si="33"/>
        <v>Canon Printer</v>
      </c>
      <c r="J433" t="str">
        <f t="shared" si="34"/>
        <v>Unique</v>
      </c>
    </row>
    <row r="434" spans="1:10" x14ac:dyDescent="0.4">
      <c r="A434" s="2" t="s">
        <v>3619</v>
      </c>
      <c r="B434" s="2" t="s">
        <v>1175</v>
      </c>
      <c r="C434" s="2" t="s">
        <v>3184</v>
      </c>
      <c r="D434" s="2">
        <v>19999</v>
      </c>
      <c r="E434" s="2" t="s">
        <v>3198</v>
      </c>
      <c r="F434">
        <f t="shared" si="30"/>
        <v>19999</v>
      </c>
      <c r="G434" t="str">
        <f t="shared" si="31"/>
        <v>Yes</v>
      </c>
      <c r="H434" t="str">
        <f t="shared" si="32"/>
        <v>No</v>
      </c>
      <c r="I434" t="str">
        <f t="shared" si="33"/>
        <v>Hp Laptop</v>
      </c>
      <c r="J434" t="str">
        <f t="shared" si="34"/>
        <v>Unique</v>
      </c>
    </row>
    <row r="435" spans="1:10" x14ac:dyDescent="0.4">
      <c r="A435" s="2" t="s">
        <v>3620</v>
      </c>
      <c r="B435" s="2" t="s">
        <v>1180</v>
      </c>
      <c r="C435" s="2" t="s">
        <v>3181</v>
      </c>
      <c r="D435" s="2">
        <v>15999</v>
      </c>
      <c r="E435" s="2" t="s">
        <v>3185</v>
      </c>
      <c r="F435">
        <f t="shared" si="30"/>
        <v>15999</v>
      </c>
      <c r="G435" t="str">
        <f t="shared" si="31"/>
        <v>Yes</v>
      </c>
      <c r="H435" t="str">
        <f t="shared" si="32"/>
        <v>No</v>
      </c>
      <c r="I435" t="str">
        <f t="shared" si="33"/>
        <v>Canon Printer</v>
      </c>
      <c r="J435" t="str">
        <f t="shared" si="34"/>
        <v>Unique</v>
      </c>
    </row>
    <row r="436" spans="1:10" x14ac:dyDescent="0.4">
      <c r="A436" s="2" t="s">
        <v>3621</v>
      </c>
      <c r="B436" s="2" t="s">
        <v>1187</v>
      </c>
      <c r="C436" s="2" t="s">
        <v>3189</v>
      </c>
      <c r="D436" s="2">
        <v>12999</v>
      </c>
      <c r="E436" s="2" t="s">
        <v>3185</v>
      </c>
      <c r="F436">
        <f t="shared" si="30"/>
        <v>12999</v>
      </c>
      <c r="G436" t="str">
        <f t="shared" si="31"/>
        <v>Yes</v>
      </c>
      <c r="H436" t="str">
        <f t="shared" si="32"/>
        <v>No</v>
      </c>
      <c r="I436" t="str">
        <f t="shared" si="33"/>
        <v>Apple Ipad</v>
      </c>
      <c r="J436" t="str">
        <f t="shared" si="34"/>
        <v>Unique</v>
      </c>
    </row>
    <row r="437" spans="1:10" x14ac:dyDescent="0.4">
      <c r="A437" s="2" t="s">
        <v>3622</v>
      </c>
      <c r="B437" s="2" t="s">
        <v>1182</v>
      </c>
      <c r="C437" s="2" t="s">
        <v>3184</v>
      </c>
      <c r="D437" s="2">
        <v>7999</v>
      </c>
      <c r="E437" s="2" t="s">
        <v>3185</v>
      </c>
      <c r="F437">
        <f t="shared" si="30"/>
        <v>7999</v>
      </c>
      <c r="G437" t="str">
        <f t="shared" si="31"/>
        <v>Yes</v>
      </c>
      <c r="H437" t="str">
        <f t="shared" si="32"/>
        <v>No</v>
      </c>
      <c r="I437" t="str">
        <f t="shared" si="33"/>
        <v>Lenovo Keyboard</v>
      </c>
      <c r="J437" t="str">
        <f t="shared" si="34"/>
        <v>Unique</v>
      </c>
    </row>
    <row r="438" spans="1:10" x14ac:dyDescent="0.4">
      <c r="A438" s="2" t="s">
        <v>3623</v>
      </c>
      <c r="B438" s="2" t="s">
        <v>1180</v>
      </c>
      <c r="C438" s="2" t="s">
        <v>3181</v>
      </c>
      <c r="D438" s="2">
        <v>12999</v>
      </c>
      <c r="E438" s="2" t="s">
        <v>3182</v>
      </c>
      <c r="F438">
        <f t="shared" si="30"/>
        <v>12999</v>
      </c>
      <c r="G438" t="str">
        <f t="shared" si="31"/>
        <v>No</v>
      </c>
      <c r="H438" t="str">
        <f t="shared" si="32"/>
        <v>No</v>
      </c>
      <c r="I438" t="str">
        <f t="shared" si="33"/>
        <v>Canon Printer</v>
      </c>
      <c r="J438" t="str">
        <f t="shared" si="34"/>
        <v>Unique</v>
      </c>
    </row>
    <row r="439" spans="1:10" x14ac:dyDescent="0.4">
      <c r="A439" s="2" t="s">
        <v>3624</v>
      </c>
      <c r="B439" s="2" t="s">
        <v>1171</v>
      </c>
      <c r="C439" s="2"/>
      <c r="D439" s="2">
        <v>19999</v>
      </c>
      <c r="E439" s="2"/>
      <c r="F439">
        <f t="shared" si="30"/>
        <v>19999</v>
      </c>
      <c r="G439" t="str">
        <f t="shared" si="31"/>
        <v/>
      </c>
      <c r="H439" t="str">
        <f t="shared" si="32"/>
        <v>No</v>
      </c>
      <c r="I439" t="str">
        <f t="shared" si="33"/>
        <v>Asus Mouse</v>
      </c>
      <c r="J439" t="str">
        <f t="shared" si="34"/>
        <v>Unique</v>
      </c>
    </row>
    <row r="440" spans="1:10" x14ac:dyDescent="0.4">
      <c r="A440" s="2" t="s">
        <v>3625</v>
      </c>
      <c r="B440" s="2" t="s">
        <v>1180</v>
      </c>
      <c r="C440" s="2" t="s">
        <v>3189</v>
      </c>
      <c r="D440" s="2">
        <v>19999</v>
      </c>
      <c r="E440" s="2" t="s">
        <v>3182</v>
      </c>
      <c r="F440">
        <f t="shared" si="30"/>
        <v>19999</v>
      </c>
      <c r="G440" t="str">
        <f t="shared" si="31"/>
        <v>No</v>
      </c>
      <c r="H440" t="str">
        <f t="shared" si="32"/>
        <v>No</v>
      </c>
      <c r="I440" t="str">
        <f t="shared" si="33"/>
        <v>Canon Printer</v>
      </c>
      <c r="J440" t="str">
        <f t="shared" si="34"/>
        <v>Unique</v>
      </c>
    </row>
    <row r="441" spans="1:10" x14ac:dyDescent="0.4">
      <c r="A441" s="2" t="s">
        <v>3626</v>
      </c>
      <c r="B441" s="2" t="s">
        <v>1180</v>
      </c>
      <c r="C441" s="2" t="s">
        <v>3184</v>
      </c>
      <c r="D441" s="2"/>
      <c r="E441" s="2"/>
      <c r="F441">
        <f t="shared" si="30"/>
        <v>12999</v>
      </c>
      <c r="G441" t="str">
        <f t="shared" si="31"/>
        <v/>
      </c>
      <c r="H441" t="str">
        <f t="shared" si="32"/>
        <v>Missing Price</v>
      </c>
      <c r="I441" t="str">
        <f t="shared" si="33"/>
        <v>Canon Printer</v>
      </c>
      <c r="J441" t="str">
        <f t="shared" si="34"/>
        <v>Unique</v>
      </c>
    </row>
    <row r="442" spans="1:10" x14ac:dyDescent="0.4">
      <c r="A442" s="2" t="s">
        <v>3627</v>
      </c>
      <c r="B442" s="2" t="s">
        <v>1171</v>
      </c>
      <c r="C442" s="2" t="s">
        <v>3181</v>
      </c>
      <c r="D442" s="2"/>
      <c r="E442" s="2" t="s">
        <v>3182</v>
      </c>
      <c r="F442">
        <f t="shared" si="30"/>
        <v>12999</v>
      </c>
      <c r="G442" t="str">
        <f t="shared" si="31"/>
        <v>No</v>
      </c>
      <c r="H442" t="str">
        <f t="shared" si="32"/>
        <v>Missing Price</v>
      </c>
      <c r="I442" t="str">
        <f t="shared" si="33"/>
        <v>Asus Mouse</v>
      </c>
      <c r="J442" t="str">
        <f t="shared" si="34"/>
        <v>Unique</v>
      </c>
    </row>
    <row r="443" spans="1:10" x14ac:dyDescent="0.4">
      <c r="A443" s="2" t="s">
        <v>3628</v>
      </c>
      <c r="B443" s="2" t="s">
        <v>1175</v>
      </c>
      <c r="C443" s="2" t="s">
        <v>3187</v>
      </c>
      <c r="D443" s="2">
        <v>4999</v>
      </c>
      <c r="E443" s="2" t="s">
        <v>3182</v>
      </c>
      <c r="F443">
        <f t="shared" si="30"/>
        <v>4999</v>
      </c>
      <c r="G443" t="str">
        <f t="shared" si="31"/>
        <v>No</v>
      </c>
      <c r="H443" t="str">
        <f t="shared" si="32"/>
        <v>No</v>
      </c>
      <c r="I443" t="str">
        <f t="shared" si="33"/>
        <v>Hp Laptop</v>
      </c>
      <c r="J443" t="str">
        <f t="shared" si="34"/>
        <v>Unique</v>
      </c>
    </row>
    <row r="444" spans="1:10" x14ac:dyDescent="0.4">
      <c r="A444" s="2" t="s">
        <v>3629</v>
      </c>
      <c r="B444" s="2" t="s">
        <v>1173</v>
      </c>
      <c r="C444" s="2" t="s">
        <v>3187</v>
      </c>
      <c r="D444" s="2">
        <v>4999</v>
      </c>
      <c r="E444" s="2" t="s">
        <v>3182</v>
      </c>
      <c r="F444">
        <f t="shared" si="30"/>
        <v>4999</v>
      </c>
      <c r="G444" t="str">
        <f t="shared" si="31"/>
        <v>No</v>
      </c>
      <c r="H444" t="str">
        <f t="shared" si="32"/>
        <v>No</v>
      </c>
      <c r="I444" t="str">
        <f t="shared" si="33"/>
        <v>Dell Monitor</v>
      </c>
      <c r="J444" t="str">
        <f t="shared" si="34"/>
        <v>Unique</v>
      </c>
    </row>
    <row r="445" spans="1:10" x14ac:dyDescent="0.4">
      <c r="A445" s="2" t="s">
        <v>3630</v>
      </c>
      <c r="B445" s="2" t="s">
        <v>1173</v>
      </c>
      <c r="C445" s="2"/>
      <c r="D445" s="2">
        <v>15999</v>
      </c>
      <c r="E445" s="2" t="s">
        <v>3198</v>
      </c>
      <c r="F445">
        <f t="shared" si="30"/>
        <v>15999</v>
      </c>
      <c r="G445" t="str">
        <f t="shared" si="31"/>
        <v>Yes</v>
      </c>
      <c r="H445" t="str">
        <f t="shared" si="32"/>
        <v>No</v>
      </c>
      <c r="I445" t="str">
        <f t="shared" si="33"/>
        <v>Dell Monitor</v>
      </c>
      <c r="J445" t="str">
        <f t="shared" si="34"/>
        <v>Unique</v>
      </c>
    </row>
    <row r="446" spans="1:10" x14ac:dyDescent="0.4">
      <c r="A446" s="2" t="s">
        <v>3631</v>
      </c>
      <c r="B446" s="2" t="s">
        <v>1187</v>
      </c>
      <c r="C446" s="2"/>
      <c r="D446" s="2">
        <v>19999</v>
      </c>
      <c r="E446" s="2" t="s">
        <v>3185</v>
      </c>
      <c r="F446">
        <f t="shared" si="30"/>
        <v>19999</v>
      </c>
      <c r="G446" t="str">
        <f t="shared" si="31"/>
        <v>Yes</v>
      </c>
      <c r="H446" t="str">
        <f t="shared" si="32"/>
        <v>No</v>
      </c>
      <c r="I446" t="str">
        <f t="shared" si="33"/>
        <v>Apple Ipad</v>
      </c>
      <c r="J446" t="str">
        <f t="shared" si="34"/>
        <v>Unique</v>
      </c>
    </row>
    <row r="447" spans="1:10" x14ac:dyDescent="0.4">
      <c r="A447" s="2" t="s">
        <v>3632</v>
      </c>
      <c r="B447" s="2" t="s">
        <v>1171</v>
      </c>
      <c r="C447" s="2"/>
      <c r="D447" s="2"/>
      <c r="E447" s="2" t="s">
        <v>3185</v>
      </c>
      <c r="F447">
        <f t="shared" si="30"/>
        <v>12999</v>
      </c>
      <c r="G447" t="str">
        <f t="shared" si="31"/>
        <v>Yes</v>
      </c>
      <c r="H447" t="str">
        <f t="shared" si="32"/>
        <v>Missing Price</v>
      </c>
      <c r="I447" t="str">
        <f t="shared" si="33"/>
        <v>Asus Mouse</v>
      </c>
      <c r="J447" t="str">
        <f t="shared" si="34"/>
        <v>Unique</v>
      </c>
    </row>
    <row r="448" spans="1:10" x14ac:dyDescent="0.4">
      <c r="A448" s="2" t="s">
        <v>3633</v>
      </c>
      <c r="B448" s="2" t="s">
        <v>1187</v>
      </c>
      <c r="C448" s="2" t="s">
        <v>3189</v>
      </c>
      <c r="D448" s="2">
        <v>4999</v>
      </c>
      <c r="E448" s="2" t="s">
        <v>3182</v>
      </c>
      <c r="F448">
        <f t="shared" si="30"/>
        <v>4999</v>
      </c>
      <c r="G448" t="str">
        <f t="shared" si="31"/>
        <v>No</v>
      </c>
      <c r="H448" t="str">
        <f t="shared" si="32"/>
        <v>No</v>
      </c>
      <c r="I448" t="str">
        <f t="shared" si="33"/>
        <v>Apple Ipad</v>
      </c>
      <c r="J448" t="str">
        <f t="shared" si="34"/>
        <v>Unique</v>
      </c>
    </row>
    <row r="449" spans="1:10" x14ac:dyDescent="0.4">
      <c r="A449" s="2" t="s">
        <v>3634</v>
      </c>
      <c r="B449" s="2" t="s">
        <v>1182</v>
      </c>
      <c r="C449" s="2"/>
      <c r="D449" s="2">
        <v>19999</v>
      </c>
      <c r="E449" s="2" t="s">
        <v>3185</v>
      </c>
      <c r="F449">
        <f t="shared" si="30"/>
        <v>19999</v>
      </c>
      <c r="G449" t="str">
        <f t="shared" si="31"/>
        <v>Yes</v>
      </c>
      <c r="H449" t="str">
        <f t="shared" si="32"/>
        <v>No</v>
      </c>
      <c r="I449" t="str">
        <f t="shared" si="33"/>
        <v>Lenovo Keyboard</v>
      </c>
      <c r="J449" t="str">
        <f t="shared" si="34"/>
        <v>Unique</v>
      </c>
    </row>
    <row r="450" spans="1:10" x14ac:dyDescent="0.4">
      <c r="A450" s="2" t="s">
        <v>3635</v>
      </c>
      <c r="B450" s="2" t="s">
        <v>1180</v>
      </c>
      <c r="C450" s="2"/>
      <c r="D450" s="2">
        <v>4999</v>
      </c>
      <c r="E450" s="2" t="s">
        <v>3185</v>
      </c>
      <c r="F450">
        <f t="shared" si="30"/>
        <v>4999</v>
      </c>
      <c r="G450" t="str">
        <f t="shared" si="31"/>
        <v>Yes</v>
      </c>
      <c r="H450" t="str">
        <f t="shared" si="32"/>
        <v>No</v>
      </c>
      <c r="I450" t="str">
        <f t="shared" si="33"/>
        <v>Canon Printer</v>
      </c>
      <c r="J450" t="str">
        <f t="shared" si="34"/>
        <v>Unique</v>
      </c>
    </row>
    <row r="451" spans="1:10" x14ac:dyDescent="0.4">
      <c r="A451" s="2" t="s">
        <v>3636</v>
      </c>
      <c r="B451" s="2" t="s">
        <v>1173</v>
      </c>
      <c r="C451" s="2" t="s">
        <v>3181</v>
      </c>
      <c r="D451" s="2">
        <v>12999</v>
      </c>
      <c r="E451" s="2"/>
      <c r="F451">
        <f t="shared" ref="F451:F501" si="35">IF(D451="",MEDIAN($D$2:$D$501),D451)</f>
        <v>12999</v>
      </c>
      <c r="G451" t="str">
        <f t="shared" ref="G451:G501" si="36">PROPER(E451)</f>
        <v/>
      </c>
      <c r="H451" t="str">
        <f t="shared" ref="H451:H501" si="37">IF(ISBLANK(D451),"Missing Price","No")</f>
        <v>No</v>
      </c>
      <c r="I451" t="str">
        <f t="shared" ref="I451:I501" si="38">PROPER(B451)</f>
        <v>Dell Monitor</v>
      </c>
      <c r="J451" t="str">
        <f t="shared" ref="J451:J501" si="39">IF(COUNTIF($A$2:$A$501,A451)&gt;1,"Duplicate","Unique")</f>
        <v>Unique</v>
      </c>
    </row>
    <row r="452" spans="1:10" x14ac:dyDescent="0.4">
      <c r="A452" s="2" t="s">
        <v>3637</v>
      </c>
      <c r="B452" s="2" t="s">
        <v>1187</v>
      </c>
      <c r="C452" s="2" t="s">
        <v>3181</v>
      </c>
      <c r="D452" s="2">
        <v>15999</v>
      </c>
      <c r="E452" s="2" t="s">
        <v>3198</v>
      </c>
      <c r="F452">
        <f t="shared" si="35"/>
        <v>15999</v>
      </c>
      <c r="G452" t="str">
        <f t="shared" si="36"/>
        <v>Yes</v>
      </c>
      <c r="H452" t="str">
        <f t="shared" si="37"/>
        <v>No</v>
      </c>
      <c r="I452" t="str">
        <f t="shared" si="38"/>
        <v>Apple Ipad</v>
      </c>
      <c r="J452" t="str">
        <f t="shared" si="39"/>
        <v>Unique</v>
      </c>
    </row>
    <row r="453" spans="1:10" x14ac:dyDescent="0.4">
      <c r="A453" s="2" t="s">
        <v>3638</v>
      </c>
      <c r="B453" s="2" t="s">
        <v>1187</v>
      </c>
      <c r="C453" s="2" t="s">
        <v>3181</v>
      </c>
      <c r="D453" s="2">
        <v>7999</v>
      </c>
      <c r="E453" s="2" t="s">
        <v>3185</v>
      </c>
      <c r="F453">
        <f t="shared" si="35"/>
        <v>7999</v>
      </c>
      <c r="G453" t="str">
        <f t="shared" si="36"/>
        <v>Yes</v>
      </c>
      <c r="H453" t="str">
        <f t="shared" si="37"/>
        <v>No</v>
      </c>
      <c r="I453" t="str">
        <f t="shared" si="38"/>
        <v>Apple Ipad</v>
      </c>
      <c r="J453" t="str">
        <f t="shared" si="39"/>
        <v>Unique</v>
      </c>
    </row>
    <row r="454" spans="1:10" x14ac:dyDescent="0.4">
      <c r="A454" s="2" t="s">
        <v>3639</v>
      </c>
      <c r="B454" s="2" t="s">
        <v>1171</v>
      </c>
      <c r="C454" s="2"/>
      <c r="D454" s="2">
        <v>12999</v>
      </c>
      <c r="E454" s="2" t="s">
        <v>3182</v>
      </c>
      <c r="F454">
        <f t="shared" si="35"/>
        <v>12999</v>
      </c>
      <c r="G454" t="str">
        <f t="shared" si="36"/>
        <v>No</v>
      </c>
      <c r="H454" t="str">
        <f t="shared" si="37"/>
        <v>No</v>
      </c>
      <c r="I454" t="str">
        <f t="shared" si="38"/>
        <v>Asus Mouse</v>
      </c>
      <c r="J454" t="str">
        <f t="shared" si="39"/>
        <v>Unique</v>
      </c>
    </row>
    <row r="455" spans="1:10" x14ac:dyDescent="0.4">
      <c r="A455" s="2" t="s">
        <v>3640</v>
      </c>
      <c r="B455" s="2" t="s">
        <v>1182</v>
      </c>
      <c r="C455" s="2" t="s">
        <v>3184</v>
      </c>
      <c r="D455" s="2">
        <v>15999</v>
      </c>
      <c r="E455" s="2" t="s">
        <v>3182</v>
      </c>
      <c r="F455">
        <f t="shared" si="35"/>
        <v>15999</v>
      </c>
      <c r="G455" t="str">
        <f t="shared" si="36"/>
        <v>No</v>
      </c>
      <c r="H455" t="str">
        <f t="shared" si="37"/>
        <v>No</v>
      </c>
      <c r="I455" t="str">
        <f t="shared" si="38"/>
        <v>Lenovo Keyboard</v>
      </c>
      <c r="J455" t="str">
        <f t="shared" si="39"/>
        <v>Unique</v>
      </c>
    </row>
    <row r="456" spans="1:10" x14ac:dyDescent="0.4">
      <c r="A456" s="2" t="s">
        <v>3641</v>
      </c>
      <c r="B456" s="2" t="s">
        <v>1182</v>
      </c>
      <c r="C456" s="2"/>
      <c r="D456" s="2">
        <v>15999</v>
      </c>
      <c r="E456" s="2"/>
      <c r="F456">
        <f t="shared" si="35"/>
        <v>15999</v>
      </c>
      <c r="G456" t="str">
        <f t="shared" si="36"/>
        <v/>
      </c>
      <c r="H456" t="str">
        <f t="shared" si="37"/>
        <v>No</v>
      </c>
      <c r="I456" t="str">
        <f t="shared" si="38"/>
        <v>Lenovo Keyboard</v>
      </c>
      <c r="J456" t="str">
        <f t="shared" si="39"/>
        <v>Unique</v>
      </c>
    </row>
    <row r="457" spans="1:10" x14ac:dyDescent="0.4">
      <c r="A457" s="2" t="s">
        <v>3642</v>
      </c>
      <c r="B457" s="2" t="s">
        <v>1187</v>
      </c>
      <c r="C457" s="2" t="s">
        <v>3187</v>
      </c>
      <c r="D457" s="2">
        <v>12999</v>
      </c>
      <c r="E457" s="2" t="s">
        <v>3185</v>
      </c>
      <c r="F457">
        <f t="shared" si="35"/>
        <v>12999</v>
      </c>
      <c r="G457" t="str">
        <f t="shared" si="36"/>
        <v>Yes</v>
      </c>
      <c r="H457" t="str">
        <f t="shared" si="37"/>
        <v>No</v>
      </c>
      <c r="I457" t="str">
        <f t="shared" si="38"/>
        <v>Apple Ipad</v>
      </c>
      <c r="J457" t="str">
        <f t="shared" si="39"/>
        <v>Unique</v>
      </c>
    </row>
    <row r="458" spans="1:10" x14ac:dyDescent="0.4">
      <c r="A458" s="2" t="s">
        <v>3643</v>
      </c>
      <c r="B458" s="2" t="s">
        <v>1182</v>
      </c>
      <c r="C458" s="2" t="s">
        <v>3181</v>
      </c>
      <c r="D458" s="2">
        <v>4999</v>
      </c>
      <c r="E458" s="2" t="s">
        <v>3182</v>
      </c>
      <c r="F458">
        <f t="shared" si="35"/>
        <v>4999</v>
      </c>
      <c r="G458" t="str">
        <f t="shared" si="36"/>
        <v>No</v>
      </c>
      <c r="H458" t="str">
        <f t="shared" si="37"/>
        <v>No</v>
      </c>
      <c r="I458" t="str">
        <f t="shared" si="38"/>
        <v>Lenovo Keyboard</v>
      </c>
      <c r="J458" t="str">
        <f t="shared" si="39"/>
        <v>Unique</v>
      </c>
    </row>
    <row r="459" spans="1:10" x14ac:dyDescent="0.4">
      <c r="A459" s="2" t="s">
        <v>3644</v>
      </c>
      <c r="B459" s="2" t="s">
        <v>1182</v>
      </c>
      <c r="C459" s="2" t="s">
        <v>3181</v>
      </c>
      <c r="D459" s="2">
        <v>4999</v>
      </c>
      <c r="E459" s="2" t="s">
        <v>3182</v>
      </c>
      <c r="F459">
        <f t="shared" si="35"/>
        <v>4999</v>
      </c>
      <c r="G459" t="str">
        <f t="shared" si="36"/>
        <v>No</v>
      </c>
      <c r="H459" t="str">
        <f t="shared" si="37"/>
        <v>No</v>
      </c>
      <c r="I459" t="str">
        <f t="shared" si="38"/>
        <v>Lenovo Keyboard</v>
      </c>
      <c r="J459" t="str">
        <f t="shared" si="39"/>
        <v>Unique</v>
      </c>
    </row>
    <row r="460" spans="1:10" x14ac:dyDescent="0.4">
      <c r="A460" s="2" t="s">
        <v>3645</v>
      </c>
      <c r="B460" s="2" t="s">
        <v>1171</v>
      </c>
      <c r="C460" s="2"/>
      <c r="D460" s="2">
        <v>19999</v>
      </c>
      <c r="E460" s="2" t="s">
        <v>3198</v>
      </c>
      <c r="F460">
        <f t="shared" si="35"/>
        <v>19999</v>
      </c>
      <c r="G460" t="str">
        <f t="shared" si="36"/>
        <v>Yes</v>
      </c>
      <c r="H460" t="str">
        <f t="shared" si="37"/>
        <v>No</v>
      </c>
      <c r="I460" t="str">
        <f t="shared" si="38"/>
        <v>Asus Mouse</v>
      </c>
      <c r="J460" t="str">
        <f t="shared" si="39"/>
        <v>Unique</v>
      </c>
    </row>
    <row r="461" spans="1:10" x14ac:dyDescent="0.4">
      <c r="A461" s="2" t="s">
        <v>3646</v>
      </c>
      <c r="B461" s="2" t="s">
        <v>1180</v>
      </c>
      <c r="C461" s="2" t="s">
        <v>3184</v>
      </c>
      <c r="D461" s="2">
        <v>7999</v>
      </c>
      <c r="E461" s="2" t="s">
        <v>3185</v>
      </c>
      <c r="F461">
        <f t="shared" si="35"/>
        <v>7999</v>
      </c>
      <c r="G461" t="str">
        <f t="shared" si="36"/>
        <v>Yes</v>
      </c>
      <c r="H461" t="str">
        <f t="shared" si="37"/>
        <v>No</v>
      </c>
      <c r="I461" t="str">
        <f t="shared" si="38"/>
        <v>Canon Printer</v>
      </c>
      <c r="J461" t="str">
        <f t="shared" si="39"/>
        <v>Unique</v>
      </c>
    </row>
    <row r="462" spans="1:10" x14ac:dyDescent="0.4">
      <c r="A462" s="2" t="s">
        <v>3647</v>
      </c>
      <c r="B462" s="2" t="s">
        <v>1171</v>
      </c>
      <c r="C462" s="2"/>
      <c r="D462" s="2">
        <v>7999</v>
      </c>
      <c r="E462" s="2" t="s">
        <v>3198</v>
      </c>
      <c r="F462">
        <f t="shared" si="35"/>
        <v>7999</v>
      </c>
      <c r="G462" t="str">
        <f t="shared" si="36"/>
        <v>Yes</v>
      </c>
      <c r="H462" t="str">
        <f t="shared" si="37"/>
        <v>No</v>
      </c>
      <c r="I462" t="str">
        <f t="shared" si="38"/>
        <v>Asus Mouse</v>
      </c>
      <c r="J462" t="str">
        <f t="shared" si="39"/>
        <v>Unique</v>
      </c>
    </row>
    <row r="463" spans="1:10" x14ac:dyDescent="0.4">
      <c r="A463" s="2" t="s">
        <v>3648</v>
      </c>
      <c r="B463" s="2" t="s">
        <v>1180</v>
      </c>
      <c r="C463" s="2" t="s">
        <v>3181</v>
      </c>
      <c r="D463" s="2">
        <v>15999</v>
      </c>
      <c r="E463" s="2" t="s">
        <v>3198</v>
      </c>
      <c r="F463">
        <f t="shared" si="35"/>
        <v>15999</v>
      </c>
      <c r="G463" t="str">
        <f t="shared" si="36"/>
        <v>Yes</v>
      </c>
      <c r="H463" t="str">
        <f t="shared" si="37"/>
        <v>No</v>
      </c>
      <c r="I463" t="str">
        <f t="shared" si="38"/>
        <v>Canon Printer</v>
      </c>
      <c r="J463" t="str">
        <f t="shared" si="39"/>
        <v>Unique</v>
      </c>
    </row>
    <row r="464" spans="1:10" x14ac:dyDescent="0.4">
      <c r="A464" s="2" t="s">
        <v>3649</v>
      </c>
      <c r="B464" s="2" t="s">
        <v>1182</v>
      </c>
      <c r="C464" s="2" t="s">
        <v>3181</v>
      </c>
      <c r="D464" s="2">
        <v>19999</v>
      </c>
      <c r="E464" s="2" t="s">
        <v>3185</v>
      </c>
      <c r="F464">
        <f t="shared" si="35"/>
        <v>19999</v>
      </c>
      <c r="G464" t="str">
        <f t="shared" si="36"/>
        <v>Yes</v>
      </c>
      <c r="H464" t="str">
        <f t="shared" si="37"/>
        <v>No</v>
      </c>
      <c r="I464" t="str">
        <f t="shared" si="38"/>
        <v>Lenovo Keyboard</v>
      </c>
      <c r="J464" t="str">
        <f t="shared" si="39"/>
        <v>Unique</v>
      </c>
    </row>
    <row r="465" spans="1:10" x14ac:dyDescent="0.4">
      <c r="A465" s="2" t="s">
        <v>3650</v>
      </c>
      <c r="B465" s="2" t="s">
        <v>1187</v>
      </c>
      <c r="C465" s="2" t="s">
        <v>3189</v>
      </c>
      <c r="D465" s="2">
        <v>7999</v>
      </c>
      <c r="E465" s="2" t="s">
        <v>3198</v>
      </c>
      <c r="F465">
        <f t="shared" si="35"/>
        <v>7999</v>
      </c>
      <c r="G465" t="str">
        <f t="shared" si="36"/>
        <v>Yes</v>
      </c>
      <c r="H465" t="str">
        <f t="shared" si="37"/>
        <v>No</v>
      </c>
      <c r="I465" t="str">
        <f t="shared" si="38"/>
        <v>Apple Ipad</v>
      </c>
      <c r="J465" t="str">
        <f t="shared" si="39"/>
        <v>Unique</v>
      </c>
    </row>
    <row r="466" spans="1:10" x14ac:dyDescent="0.4">
      <c r="A466" s="2" t="s">
        <v>3651</v>
      </c>
      <c r="B466" s="2" t="s">
        <v>1173</v>
      </c>
      <c r="C466" s="2" t="s">
        <v>3184</v>
      </c>
      <c r="D466" s="2">
        <v>12999</v>
      </c>
      <c r="E466" s="2" t="s">
        <v>3185</v>
      </c>
      <c r="F466">
        <f t="shared" si="35"/>
        <v>12999</v>
      </c>
      <c r="G466" t="str">
        <f t="shared" si="36"/>
        <v>Yes</v>
      </c>
      <c r="H466" t="str">
        <f t="shared" si="37"/>
        <v>No</v>
      </c>
      <c r="I466" t="str">
        <f t="shared" si="38"/>
        <v>Dell Monitor</v>
      </c>
      <c r="J466" t="str">
        <f t="shared" si="39"/>
        <v>Unique</v>
      </c>
    </row>
    <row r="467" spans="1:10" x14ac:dyDescent="0.4">
      <c r="A467" s="2" t="s">
        <v>3652</v>
      </c>
      <c r="B467" s="2" t="s">
        <v>1187</v>
      </c>
      <c r="C467" s="2" t="s">
        <v>3181</v>
      </c>
      <c r="D467" s="2">
        <v>19999</v>
      </c>
      <c r="E467" s="2" t="s">
        <v>3185</v>
      </c>
      <c r="F467">
        <f t="shared" si="35"/>
        <v>19999</v>
      </c>
      <c r="G467" t="str">
        <f t="shared" si="36"/>
        <v>Yes</v>
      </c>
      <c r="H467" t="str">
        <f t="shared" si="37"/>
        <v>No</v>
      </c>
      <c r="I467" t="str">
        <f t="shared" si="38"/>
        <v>Apple Ipad</v>
      </c>
      <c r="J467" t="str">
        <f t="shared" si="39"/>
        <v>Unique</v>
      </c>
    </row>
    <row r="468" spans="1:10" x14ac:dyDescent="0.4">
      <c r="A468" s="2" t="s">
        <v>3653</v>
      </c>
      <c r="B468" s="2" t="s">
        <v>1187</v>
      </c>
      <c r="C468" s="2" t="s">
        <v>3184</v>
      </c>
      <c r="D468" s="2">
        <v>7999</v>
      </c>
      <c r="E468" s="2" t="s">
        <v>3185</v>
      </c>
      <c r="F468">
        <f t="shared" si="35"/>
        <v>7999</v>
      </c>
      <c r="G468" t="str">
        <f t="shared" si="36"/>
        <v>Yes</v>
      </c>
      <c r="H468" t="str">
        <f t="shared" si="37"/>
        <v>No</v>
      </c>
      <c r="I468" t="str">
        <f t="shared" si="38"/>
        <v>Apple Ipad</v>
      </c>
      <c r="J468" t="str">
        <f t="shared" si="39"/>
        <v>Unique</v>
      </c>
    </row>
    <row r="469" spans="1:10" x14ac:dyDescent="0.4">
      <c r="A469" s="2" t="s">
        <v>3654</v>
      </c>
      <c r="B469" s="2" t="s">
        <v>1173</v>
      </c>
      <c r="C469" s="2" t="s">
        <v>3181</v>
      </c>
      <c r="D469" s="2"/>
      <c r="E469" s="2" t="s">
        <v>3198</v>
      </c>
      <c r="F469">
        <f t="shared" si="35"/>
        <v>12999</v>
      </c>
      <c r="G469" t="str">
        <f t="shared" si="36"/>
        <v>Yes</v>
      </c>
      <c r="H469" t="str">
        <f t="shared" si="37"/>
        <v>Missing Price</v>
      </c>
      <c r="I469" t="str">
        <f t="shared" si="38"/>
        <v>Dell Monitor</v>
      </c>
      <c r="J469" t="str">
        <f t="shared" si="39"/>
        <v>Unique</v>
      </c>
    </row>
    <row r="470" spans="1:10" x14ac:dyDescent="0.4">
      <c r="A470" s="2" t="s">
        <v>3655</v>
      </c>
      <c r="B470" s="2" t="s">
        <v>1171</v>
      </c>
      <c r="C470" s="2" t="s">
        <v>3189</v>
      </c>
      <c r="D470" s="2">
        <v>15999</v>
      </c>
      <c r="E470" s="2" t="s">
        <v>3185</v>
      </c>
      <c r="F470">
        <f t="shared" si="35"/>
        <v>15999</v>
      </c>
      <c r="G470" t="str">
        <f t="shared" si="36"/>
        <v>Yes</v>
      </c>
      <c r="H470" t="str">
        <f t="shared" si="37"/>
        <v>No</v>
      </c>
      <c r="I470" t="str">
        <f t="shared" si="38"/>
        <v>Asus Mouse</v>
      </c>
      <c r="J470" t="str">
        <f t="shared" si="39"/>
        <v>Unique</v>
      </c>
    </row>
    <row r="471" spans="1:10" x14ac:dyDescent="0.4">
      <c r="A471" s="2" t="s">
        <v>3656</v>
      </c>
      <c r="B471" s="2" t="s">
        <v>1187</v>
      </c>
      <c r="C471" s="2" t="s">
        <v>3187</v>
      </c>
      <c r="D471" s="2"/>
      <c r="E471" s="2" t="s">
        <v>3185</v>
      </c>
      <c r="F471">
        <f t="shared" si="35"/>
        <v>12999</v>
      </c>
      <c r="G471" t="str">
        <f t="shared" si="36"/>
        <v>Yes</v>
      </c>
      <c r="H471" t="str">
        <f t="shared" si="37"/>
        <v>Missing Price</v>
      </c>
      <c r="I471" t="str">
        <f t="shared" si="38"/>
        <v>Apple Ipad</v>
      </c>
      <c r="J471" t="str">
        <f t="shared" si="39"/>
        <v>Unique</v>
      </c>
    </row>
    <row r="472" spans="1:10" x14ac:dyDescent="0.4">
      <c r="A472" s="2" t="s">
        <v>3657</v>
      </c>
      <c r="B472" s="2" t="s">
        <v>1180</v>
      </c>
      <c r="C472" s="2" t="s">
        <v>3181</v>
      </c>
      <c r="D472" s="2">
        <v>15999</v>
      </c>
      <c r="E472" s="2" t="s">
        <v>3182</v>
      </c>
      <c r="F472">
        <f t="shared" si="35"/>
        <v>15999</v>
      </c>
      <c r="G472" t="str">
        <f t="shared" si="36"/>
        <v>No</v>
      </c>
      <c r="H472" t="str">
        <f t="shared" si="37"/>
        <v>No</v>
      </c>
      <c r="I472" t="str">
        <f t="shared" si="38"/>
        <v>Canon Printer</v>
      </c>
      <c r="J472" t="str">
        <f t="shared" si="39"/>
        <v>Unique</v>
      </c>
    </row>
    <row r="473" spans="1:10" x14ac:dyDescent="0.4">
      <c r="A473" s="2" t="s">
        <v>3658</v>
      </c>
      <c r="B473" s="2" t="s">
        <v>1182</v>
      </c>
      <c r="C473" s="2"/>
      <c r="D473" s="2">
        <v>15999</v>
      </c>
      <c r="E473" s="2" t="s">
        <v>3198</v>
      </c>
      <c r="F473">
        <f t="shared" si="35"/>
        <v>15999</v>
      </c>
      <c r="G473" t="str">
        <f t="shared" si="36"/>
        <v>Yes</v>
      </c>
      <c r="H473" t="str">
        <f t="shared" si="37"/>
        <v>No</v>
      </c>
      <c r="I473" t="str">
        <f t="shared" si="38"/>
        <v>Lenovo Keyboard</v>
      </c>
      <c r="J473" t="str">
        <f t="shared" si="39"/>
        <v>Unique</v>
      </c>
    </row>
    <row r="474" spans="1:10" x14ac:dyDescent="0.4">
      <c r="A474" s="2" t="s">
        <v>3659</v>
      </c>
      <c r="B474" s="2" t="s">
        <v>1182</v>
      </c>
      <c r="C474" s="2" t="s">
        <v>3189</v>
      </c>
      <c r="D474" s="2">
        <v>12999</v>
      </c>
      <c r="E474" s="2" t="s">
        <v>3198</v>
      </c>
      <c r="F474">
        <f t="shared" si="35"/>
        <v>12999</v>
      </c>
      <c r="G474" t="str">
        <f t="shared" si="36"/>
        <v>Yes</v>
      </c>
      <c r="H474" t="str">
        <f t="shared" si="37"/>
        <v>No</v>
      </c>
      <c r="I474" t="str">
        <f t="shared" si="38"/>
        <v>Lenovo Keyboard</v>
      </c>
      <c r="J474" t="str">
        <f t="shared" si="39"/>
        <v>Unique</v>
      </c>
    </row>
    <row r="475" spans="1:10" x14ac:dyDescent="0.4">
      <c r="A475" s="2" t="s">
        <v>3660</v>
      </c>
      <c r="B475" s="2" t="s">
        <v>1171</v>
      </c>
      <c r="C475" s="2" t="s">
        <v>3189</v>
      </c>
      <c r="D475" s="2">
        <v>4999</v>
      </c>
      <c r="E475" s="2" t="s">
        <v>3185</v>
      </c>
      <c r="F475">
        <f t="shared" si="35"/>
        <v>4999</v>
      </c>
      <c r="G475" t="str">
        <f t="shared" si="36"/>
        <v>Yes</v>
      </c>
      <c r="H475" t="str">
        <f t="shared" si="37"/>
        <v>No</v>
      </c>
      <c r="I475" t="str">
        <f t="shared" si="38"/>
        <v>Asus Mouse</v>
      </c>
      <c r="J475" t="str">
        <f t="shared" si="39"/>
        <v>Unique</v>
      </c>
    </row>
    <row r="476" spans="1:10" x14ac:dyDescent="0.4">
      <c r="A476" s="2" t="s">
        <v>3661</v>
      </c>
      <c r="B476" s="2" t="s">
        <v>1171</v>
      </c>
      <c r="C476" s="2" t="s">
        <v>3189</v>
      </c>
      <c r="D476" s="2">
        <v>7999</v>
      </c>
      <c r="E476" s="2" t="s">
        <v>3182</v>
      </c>
      <c r="F476">
        <f t="shared" si="35"/>
        <v>7999</v>
      </c>
      <c r="G476" t="str">
        <f t="shared" si="36"/>
        <v>No</v>
      </c>
      <c r="H476" t="str">
        <f t="shared" si="37"/>
        <v>No</v>
      </c>
      <c r="I476" t="str">
        <f t="shared" si="38"/>
        <v>Asus Mouse</v>
      </c>
      <c r="J476" t="str">
        <f t="shared" si="39"/>
        <v>Unique</v>
      </c>
    </row>
    <row r="477" spans="1:10" x14ac:dyDescent="0.4">
      <c r="A477" s="2" t="s">
        <v>3662</v>
      </c>
      <c r="B477" s="2" t="s">
        <v>1171</v>
      </c>
      <c r="C477" s="2" t="s">
        <v>3189</v>
      </c>
      <c r="D477" s="2"/>
      <c r="E477" s="2" t="s">
        <v>3182</v>
      </c>
      <c r="F477">
        <f t="shared" si="35"/>
        <v>12999</v>
      </c>
      <c r="G477" t="str">
        <f t="shared" si="36"/>
        <v>No</v>
      </c>
      <c r="H477" t="str">
        <f t="shared" si="37"/>
        <v>Missing Price</v>
      </c>
      <c r="I477" t="str">
        <f t="shared" si="38"/>
        <v>Asus Mouse</v>
      </c>
      <c r="J477" t="str">
        <f t="shared" si="39"/>
        <v>Unique</v>
      </c>
    </row>
    <row r="478" spans="1:10" x14ac:dyDescent="0.4">
      <c r="A478" s="2" t="s">
        <v>3663</v>
      </c>
      <c r="B478" s="2" t="s">
        <v>1175</v>
      </c>
      <c r="C478" s="2"/>
      <c r="D478" s="2">
        <v>7999</v>
      </c>
      <c r="E478" s="2"/>
      <c r="F478">
        <f t="shared" si="35"/>
        <v>7999</v>
      </c>
      <c r="G478" t="str">
        <f t="shared" si="36"/>
        <v/>
      </c>
      <c r="H478" t="str">
        <f t="shared" si="37"/>
        <v>No</v>
      </c>
      <c r="I478" t="str">
        <f t="shared" si="38"/>
        <v>Hp Laptop</v>
      </c>
      <c r="J478" t="str">
        <f t="shared" si="39"/>
        <v>Unique</v>
      </c>
    </row>
    <row r="479" spans="1:10" x14ac:dyDescent="0.4">
      <c r="A479" s="2" t="s">
        <v>3664</v>
      </c>
      <c r="B479" s="2" t="s">
        <v>1180</v>
      </c>
      <c r="C479" s="2" t="s">
        <v>3181</v>
      </c>
      <c r="D479" s="2">
        <v>15999</v>
      </c>
      <c r="E479" s="2"/>
      <c r="F479">
        <f t="shared" si="35"/>
        <v>15999</v>
      </c>
      <c r="G479" t="str">
        <f t="shared" si="36"/>
        <v/>
      </c>
      <c r="H479" t="str">
        <f t="shared" si="37"/>
        <v>No</v>
      </c>
      <c r="I479" t="str">
        <f t="shared" si="38"/>
        <v>Canon Printer</v>
      </c>
      <c r="J479" t="str">
        <f t="shared" si="39"/>
        <v>Unique</v>
      </c>
    </row>
    <row r="480" spans="1:10" x14ac:dyDescent="0.4">
      <c r="A480" s="2" t="s">
        <v>3665</v>
      </c>
      <c r="B480" s="2" t="s">
        <v>1175</v>
      </c>
      <c r="C480" s="2" t="s">
        <v>3184</v>
      </c>
      <c r="D480" s="2"/>
      <c r="E480" s="2" t="s">
        <v>3182</v>
      </c>
      <c r="F480">
        <f t="shared" si="35"/>
        <v>12999</v>
      </c>
      <c r="G480" t="str">
        <f t="shared" si="36"/>
        <v>No</v>
      </c>
      <c r="H480" t="str">
        <f t="shared" si="37"/>
        <v>Missing Price</v>
      </c>
      <c r="I480" t="str">
        <f t="shared" si="38"/>
        <v>Hp Laptop</v>
      </c>
      <c r="J480" t="str">
        <f t="shared" si="39"/>
        <v>Unique</v>
      </c>
    </row>
    <row r="481" spans="1:10" x14ac:dyDescent="0.4">
      <c r="A481" s="2" t="s">
        <v>3666</v>
      </c>
      <c r="B481" s="2" t="s">
        <v>1182</v>
      </c>
      <c r="C481" s="2" t="s">
        <v>3187</v>
      </c>
      <c r="D481" s="2"/>
      <c r="E481" s="2" t="s">
        <v>3198</v>
      </c>
      <c r="F481">
        <f t="shared" si="35"/>
        <v>12999</v>
      </c>
      <c r="G481" t="str">
        <f t="shared" si="36"/>
        <v>Yes</v>
      </c>
      <c r="H481" t="str">
        <f t="shared" si="37"/>
        <v>Missing Price</v>
      </c>
      <c r="I481" t="str">
        <f t="shared" si="38"/>
        <v>Lenovo Keyboard</v>
      </c>
      <c r="J481" t="str">
        <f t="shared" si="39"/>
        <v>Unique</v>
      </c>
    </row>
    <row r="482" spans="1:10" x14ac:dyDescent="0.4">
      <c r="A482" s="2" t="s">
        <v>3667</v>
      </c>
      <c r="B482" s="2" t="s">
        <v>1187</v>
      </c>
      <c r="C482" s="2" t="s">
        <v>3187</v>
      </c>
      <c r="D482" s="2">
        <v>19999</v>
      </c>
      <c r="E482" s="2" t="s">
        <v>3198</v>
      </c>
      <c r="F482">
        <f t="shared" si="35"/>
        <v>19999</v>
      </c>
      <c r="G482" t="str">
        <f t="shared" si="36"/>
        <v>Yes</v>
      </c>
      <c r="H482" t="str">
        <f t="shared" si="37"/>
        <v>No</v>
      </c>
      <c r="I482" t="str">
        <f t="shared" si="38"/>
        <v>Apple Ipad</v>
      </c>
      <c r="J482" t="str">
        <f t="shared" si="39"/>
        <v>Unique</v>
      </c>
    </row>
    <row r="483" spans="1:10" x14ac:dyDescent="0.4">
      <c r="A483" s="2" t="s">
        <v>3668</v>
      </c>
      <c r="B483" s="2" t="s">
        <v>1175</v>
      </c>
      <c r="C483" s="2"/>
      <c r="D483" s="2">
        <v>15999</v>
      </c>
      <c r="E483" s="2" t="s">
        <v>3185</v>
      </c>
      <c r="F483">
        <f t="shared" si="35"/>
        <v>15999</v>
      </c>
      <c r="G483" t="str">
        <f t="shared" si="36"/>
        <v>Yes</v>
      </c>
      <c r="H483" t="str">
        <f t="shared" si="37"/>
        <v>No</v>
      </c>
      <c r="I483" t="str">
        <f t="shared" si="38"/>
        <v>Hp Laptop</v>
      </c>
      <c r="J483" t="str">
        <f t="shared" si="39"/>
        <v>Unique</v>
      </c>
    </row>
    <row r="484" spans="1:10" x14ac:dyDescent="0.4">
      <c r="A484" s="2" t="s">
        <v>3669</v>
      </c>
      <c r="B484" s="2" t="s">
        <v>1187</v>
      </c>
      <c r="C484" s="2" t="s">
        <v>3184</v>
      </c>
      <c r="D484" s="2">
        <v>7999</v>
      </c>
      <c r="E484" s="2"/>
      <c r="F484">
        <f t="shared" si="35"/>
        <v>7999</v>
      </c>
      <c r="G484" t="str">
        <f t="shared" si="36"/>
        <v/>
      </c>
      <c r="H484" t="str">
        <f t="shared" si="37"/>
        <v>No</v>
      </c>
      <c r="I484" t="str">
        <f t="shared" si="38"/>
        <v>Apple Ipad</v>
      </c>
      <c r="J484" t="str">
        <f t="shared" si="39"/>
        <v>Unique</v>
      </c>
    </row>
    <row r="485" spans="1:10" x14ac:dyDescent="0.4">
      <c r="A485" s="2" t="s">
        <v>3670</v>
      </c>
      <c r="B485" s="2" t="s">
        <v>1173</v>
      </c>
      <c r="C485" s="2" t="s">
        <v>3187</v>
      </c>
      <c r="D485" s="2"/>
      <c r="E485" s="2" t="s">
        <v>3182</v>
      </c>
      <c r="F485">
        <f t="shared" si="35"/>
        <v>12999</v>
      </c>
      <c r="G485" t="str">
        <f t="shared" si="36"/>
        <v>No</v>
      </c>
      <c r="H485" t="str">
        <f t="shared" si="37"/>
        <v>Missing Price</v>
      </c>
      <c r="I485" t="str">
        <f t="shared" si="38"/>
        <v>Dell Monitor</v>
      </c>
      <c r="J485" t="str">
        <f t="shared" si="39"/>
        <v>Unique</v>
      </c>
    </row>
    <row r="486" spans="1:10" x14ac:dyDescent="0.4">
      <c r="A486" s="2" t="s">
        <v>3671</v>
      </c>
      <c r="B486" s="2" t="s">
        <v>1182</v>
      </c>
      <c r="C486" s="2"/>
      <c r="D486" s="2">
        <v>7999</v>
      </c>
      <c r="E486" s="2" t="s">
        <v>3185</v>
      </c>
      <c r="F486">
        <f t="shared" si="35"/>
        <v>7999</v>
      </c>
      <c r="G486" t="str">
        <f t="shared" si="36"/>
        <v>Yes</v>
      </c>
      <c r="H486" t="str">
        <f t="shared" si="37"/>
        <v>No</v>
      </c>
      <c r="I486" t="str">
        <f t="shared" si="38"/>
        <v>Lenovo Keyboard</v>
      </c>
      <c r="J486" t="str">
        <f t="shared" si="39"/>
        <v>Unique</v>
      </c>
    </row>
    <row r="487" spans="1:10" x14ac:dyDescent="0.4">
      <c r="A487" s="2" t="s">
        <v>3672</v>
      </c>
      <c r="B487" s="2" t="s">
        <v>1175</v>
      </c>
      <c r="C487" s="2" t="s">
        <v>3189</v>
      </c>
      <c r="D487" s="2"/>
      <c r="E487" s="2" t="s">
        <v>3198</v>
      </c>
      <c r="F487">
        <f t="shared" si="35"/>
        <v>12999</v>
      </c>
      <c r="G487" t="str">
        <f t="shared" si="36"/>
        <v>Yes</v>
      </c>
      <c r="H487" t="str">
        <f t="shared" si="37"/>
        <v>Missing Price</v>
      </c>
      <c r="I487" t="str">
        <f t="shared" si="38"/>
        <v>Hp Laptop</v>
      </c>
      <c r="J487" t="str">
        <f t="shared" si="39"/>
        <v>Unique</v>
      </c>
    </row>
    <row r="488" spans="1:10" x14ac:dyDescent="0.4">
      <c r="A488" s="2" t="s">
        <v>3673</v>
      </c>
      <c r="B488" s="2" t="s">
        <v>1182</v>
      </c>
      <c r="C488" s="2" t="s">
        <v>3181</v>
      </c>
      <c r="D488" s="2">
        <v>4999</v>
      </c>
      <c r="E488" s="2" t="s">
        <v>3185</v>
      </c>
      <c r="F488">
        <f t="shared" si="35"/>
        <v>4999</v>
      </c>
      <c r="G488" t="str">
        <f t="shared" si="36"/>
        <v>Yes</v>
      </c>
      <c r="H488" t="str">
        <f t="shared" si="37"/>
        <v>No</v>
      </c>
      <c r="I488" t="str">
        <f t="shared" si="38"/>
        <v>Lenovo Keyboard</v>
      </c>
      <c r="J488" t="str">
        <f t="shared" si="39"/>
        <v>Unique</v>
      </c>
    </row>
    <row r="489" spans="1:10" x14ac:dyDescent="0.4">
      <c r="A489" s="2" t="s">
        <v>3674</v>
      </c>
      <c r="B489" s="2" t="s">
        <v>1173</v>
      </c>
      <c r="C489" s="2" t="s">
        <v>3189</v>
      </c>
      <c r="D489" s="2">
        <v>12999</v>
      </c>
      <c r="E489" s="2" t="s">
        <v>3185</v>
      </c>
      <c r="F489">
        <f t="shared" si="35"/>
        <v>12999</v>
      </c>
      <c r="G489" t="str">
        <f t="shared" si="36"/>
        <v>Yes</v>
      </c>
      <c r="H489" t="str">
        <f t="shared" si="37"/>
        <v>No</v>
      </c>
      <c r="I489" t="str">
        <f t="shared" si="38"/>
        <v>Dell Monitor</v>
      </c>
      <c r="J489" t="str">
        <f t="shared" si="39"/>
        <v>Unique</v>
      </c>
    </row>
    <row r="490" spans="1:10" x14ac:dyDescent="0.4">
      <c r="A490" s="2" t="s">
        <v>3675</v>
      </c>
      <c r="B490" s="2" t="s">
        <v>1173</v>
      </c>
      <c r="C490" s="2" t="s">
        <v>3189</v>
      </c>
      <c r="D490" s="2">
        <v>19999</v>
      </c>
      <c r="E490" s="2" t="s">
        <v>3182</v>
      </c>
      <c r="F490">
        <f t="shared" si="35"/>
        <v>19999</v>
      </c>
      <c r="G490" t="str">
        <f t="shared" si="36"/>
        <v>No</v>
      </c>
      <c r="H490" t="str">
        <f t="shared" si="37"/>
        <v>No</v>
      </c>
      <c r="I490" t="str">
        <f t="shared" si="38"/>
        <v>Dell Monitor</v>
      </c>
      <c r="J490" t="str">
        <f t="shared" si="39"/>
        <v>Unique</v>
      </c>
    </row>
    <row r="491" spans="1:10" x14ac:dyDescent="0.4">
      <c r="A491" s="2" t="s">
        <v>3676</v>
      </c>
      <c r="B491" s="2" t="s">
        <v>1182</v>
      </c>
      <c r="C491" s="2" t="s">
        <v>3181</v>
      </c>
      <c r="D491" s="2">
        <v>15999</v>
      </c>
      <c r="E491" s="2" t="s">
        <v>3185</v>
      </c>
      <c r="F491">
        <f t="shared" si="35"/>
        <v>15999</v>
      </c>
      <c r="G491" t="str">
        <f t="shared" si="36"/>
        <v>Yes</v>
      </c>
      <c r="H491" t="str">
        <f t="shared" si="37"/>
        <v>No</v>
      </c>
      <c r="I491" t="str">
        <f t="shared" si="38"/>
        <v>Lenovo Keyboard</v>
      </c>
      <c r="J491" t="str">
        <f t="shared" si="39"/>
        <v>Unique</v>
      </c>
    </row>
    <row r="492" spans="1:10" x14ac:dyDescent="0.4">
      <c r="A492" s="2" t="s">
        <v>3677</v>
      </c>
      <c r="B492" s="2" t="s">
        <v>1175</v>
      </c>
      <c r="C492" s="2" t="s">
        <v>3181</v>
      </c>
      <c r="D492" s="2">
        <v>12999</v>
      </c>
      <c r="E492" s="2" t="s">
        <v>3182</v>
      </c>
      <c r="F492">
        <f t="shared" si="35"/>
        <v>12999</v>
      </c>
      <c r="G492" t="str">
        <f t="shared" si="36"/>
        <v>No</v>
      </c>
      <c r="H492" t="str">
        <f t="shared" si="37"/>
        <v>No</v>
      </c>
      <c r="I492" t="str">
        <f t="shared" si="38"/>
        <v>Hp Laptop</v>
      </c>
      <c r="J492" t="str">
        <f t="shared" si="39"/>
        <v>Unique</v>
      </c>
    </row>
    <row r="493" spans="1:10" x14ac:dyDescent="0.4">
      <c r="A493" s="2" t="s">
        <v>3678</v>
      </c>
      <c r="B493" s="2" t="s">
        <v>1180</v>
      </c>
      <c r="C493" s="2" t="s">
        <v>3187</v>
      </c>
      <c r="D493" s="2">
        <v>19999</v>
      </c>
      <c r="E493" s="2"/>
      <c r="F493">
        <f t="shared" si="35"/>
        <v>19999</v>
      </c>
      <c r="G493" t="str">
        <f t="shared" si="36"/>
        <v/>
      </c>
      <c r="H493" t="str">
        <f t="shared" si="37"/>
        <v>No</v>
      </c>
      <c r="I493" t="str">
        <f t="shared" si="38"/>
        <v>Canon Printer</v>
      </c>
      <c r="J493" t="str">
        <f t="shared" si="39"/>
        <v>Unique</v>
      </c>
    </row>
    <row r="494" spans="1:10" x14ac:dyDescent="0.4">
      <c r="A494" s="2" t="s">
        <v>3679</v>
      </c>
      <c r="B494" s="2" t="s">
        <v>1182</v>
      </c>
      <c r="C494" s="2" t="s">
        <v>3181</v>
      </c>
      <c r="D494" s="2">
        <v>7999</v>
      </c>
      <c r="E494" s="2" t="s">
        <v>3185</v>
      </c>
      <c r="F494">
        <f t="shared" si="35"/>
        <v>7999</v>
      </c>
      <c r="G494" t="str">
        <f t="shared" si="36"/>
        <v>Yes</v>
      </c>
      <c r="H494" t="str">
        <f t="shared" si="37"/>
        <v>No</v>
      </c>
      <c r="I494" t="str">
        <f t="shared" si="38"/>
        <v>Lenovo Keyboard</v>
      </c>
      <c r="J494" t="str">
        <f t="shared" si="39"/>
        <v>Unique</v>
      </c>
    </row>
    <row r="495" spans="1:10" x14ac:dyDescent="0.4">
      <c r="A495" s="2" t="s">
        <v>3680</v>
      </c>
      <c r="B495" s="2" t="s">
        <v>1187</v>
      </c>
      <c r="C495" s="2" t="s">
        <v>3184</v>
      </c>
      <c r="D495" s="2">
        <v>19999</v>
      </c>
      <c r="E495" s="2" t="s">
        <v>3198</v>
      </c>
      <c r="F495">
        <f t="shared" si="35"/>
        <v>19999</v>
      </c>
      <c r="G495" t="str">
        <f t="shared" si="36"/>
        <v>Yes</v>
      </c>
      <c r="H495" t="str">
        <f t="shared" si="37"/>
        <v>No</v>
      </c>
      <c r="I495" t="str">
        <f t="shared" si="38"/>
        <v>Apple Ipad</v>
      </c>
      <c r="J495" t="str">
        <f t="shared" si="39"/>
        <v>Unique</v>
      </c>
    </row>
    <row r="496" spans="1:10" x14ac:dyDescent="0.4">
      <c r="A496" s="2" t="s">
        <v>3681</v>
      </c>
      <c r="B496" s="2" t="s">
        <v>1187</v>
      </c>
      <c r="C496" s="2" t="s">
        <v>3184</v>
      </c>
      <c r="D496" s="2">
        <v>12999</v>
      </c>
      <c r="E496" s="2" t="s">
        <v>3198</v>
      </c>
      <c r="F496">
        <f t="shared" si="35"/>
        <v>12999</v>
      </c>
      <c r="G496" t="str">
        <f t="shared" si="36"/>
        <v>Yes</v>
      </c>
      <c r="H496" t="str">
        <f t="shared" si="37"/>
        <v>No</v>
      </c>
      <c r="I496" t="str">
        <f t="shared" si="38"/>
        <v>Apple Ipad</v>
      </c>
      <c r="J496" t="str">
        <f t="shared" si="39"/>
        <v>Unique</v>
      </c>
    </row>
    <row r="497" spans="1:10" x14ac:dyDescent="0.4">
      <c r="A497" s="2" t="s">
        <v>3682</v>
      </c>
      <c r="B497" s="2" t="s">
        <v>1187</v>
      </c>
      <c r="C497" s="2" t="s">
        <v>3184</v>
      </c>
      <c r="D497" s="2">
        <v>12999</v>
      </c>
      <c r="E497" s="2" t="s">
        <v>3185</v>
      </c>
      <c r="F497">
        <f t="shared" si="35"/>
        <v>12999</v>
      </c>
      <c r="G497" t="str">
        <f t="shared" si="36"/>
        <v>Yes</v>
      </c>
      <c r="H497" t="str">
        <f t="shared" si="37"/>
        <v>No</v>
      </c>
      <c r="I497" t="str">
        <f t="shared" si="38"/>
        <v>Apple Ipad</v>
      </c>
      <c r="J497" t="str">
        <f t="shared" si="39"/>
        <v>Unique</v>
      </c>
    </row>
    <row r="498" spans="1:10" x14ac:dyDescent="0.4">
      <c r="A498" s="2" t="s">
        <v>3683</v>
      </c>
      <c r="B498" s="2" t="s">
        <v>1187</v>
      </c>
      <c r="C498" s="2" t="s">
        <v>3181</v>
      </c>
      <c r="D498" s="2">
        <v>12999</v>
      </c>
      <c r="E498" s="2"/>
      <c r="F498">
        <f t="shared" si="35"/>
        <v>12999</v>
      </c>
      <c r="G498" t="str">
        <f t="shared" si="36"/>
        <v/>
      </c>
      <c r="H498" t="str">
        <f t="shared" si="37"/>
        <v>No</v>
      </c>
      <c r="I498" t="str">
        <f t="shared" si="38"/>
        <v>Apple Ipad</v>
      </c>
      <c r="J498" t="str">
        <f t="shared" si="39"/>
        <v>Unique</v>
      </c>
    </row>
    <row r="499" spans="1:10" x14ac:dyDescent="0.4">
      <c r="A499" s="2" t="s">
        <v>3684</v>
      </c>
      <c r="B499" s="2" t="s">
        <v>1187</v>
      </c>
      <c r="C499" s="2" t="s">
        <v>3181</v>
      </c>
      <c r="D499" s="2">
        <v>12999</v>
      </c>
      <c r="E499" s="2" t="s">
        <v>3198</v>
      </c>
      <c r="F499">
        <f t="shared" si="35"/>
        <v>12999</v>
      </c>
      <c r="G499" t="str">
        <f t="shared" si="36"/>
        <v>Yes</v>
      </c>
      <c r="H499" t="str">
        <f t="shared" si="37"/>
        <v>No</v>
      </c>
      <c r="I499" t="str">
        <f t="shared" si="38"/>
        <v>Apple Ipad</v>
      </c>
      <c r="J499" t="str">
        <f t="shared" si="39"/>
        <v>Unique</v>
      </c>
    </row>
    <row r="500" spans="1:10" x14ac:dyDescent="0.4">
      <c r="A500" s="2" t="s">
        <v>3685</v>
      </c>
      <c r="B500" s="2" t="s">
        <v>1173</v>
      </c>
      <c r="C500" s="2" t="s">
        <v>3181</v>
      </c>
      <c r="D500" s="2">
        <v>15999</v>
      </c>
      <c r="E500" s="2"/>
      <c r="F500">
        <f t="shared" si="35"/>
        <v>15999</v>
      </c>
      <c r="G500" t="str">
        <f t="shared" si="36"/>
        <v/>
      </c>
      <c r="H500" t="str">
        <f t="shared" si="37"/>
        <v>No</v>
      </c>
      <c r="I500" t="str">
        <f t="shared" si="38"/>
        <v>Dell Monitor</v>
      </c>
      <c r="J500" t="str">
        <f t="shared" si="39"/>
        <v>Unique</v>
      </c>
    </row>
    <row r="501" spans="1:10" x14ac:dyDescent="0.4">
      <c r="A501" s="2" t="s">
        <v>3686</v>
      </c>
      <c r="B501" s="2" t="s">
        <v>1175</v>
      </c>
      <c r="C501" s="2" t="s">
        <v>3184</v>
      </c>
      <c r="D501" s="2">
        <v>4999</v>
      </c>
      <c r="E501" s="2" t="s">
        <v>3185</v>
      </c>
      <c r="F501">
        <f t="shared" si="35"/>
        <v>4999</v>
      </c>
      <c r="G501" t="str">
        <f t="shared" si="36"/>
        <v>Yes</v>
      </c>
      <c r="H501" t="str">
        <f t="shared" si="37"/>
        <v>No</v>
      </c>
      <c r="I501" t="str">
        <f t="shared" si="38"/>
        <v>Hp Laptop</v>
      </c>
      <c r="J501" t="str">
        <f t="shared" si="39"/>
        <v>Unique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workbookViewId="0">
      <selection activeCell="D7" sqref="D7"/>
    </sheetView>
  </sheetViews>
  <sheetFormatPr defaultRowHeight="14.6" x14ac:dyDescent="0.4"/>
  <cols>
    <col min="1" max="1" width="5.765625" bestFit="1" customWidth="1"/>
    <col min="2" max="2" width="41.53515625" bestFit="1" customWidth="1"/>
    <col min="3" max="3" width="18.69140625" bestFit="1" customWidth="1"/>
    <col min="4" max="4" width="44.23046875" bestFit="1" customWidth="1"/>
    <col min="5" max="5" width="16.61328125" bestFit="1" customWidth="1"/>
  </cols>
  <sheetData>
    <row r="1" spans="1:5" x14ac:dyDescent="0.4">
      <c r="A1" s="1" t="s">
        <v>3687</v>
      </c>
      <c r="B1" s="1" t="s">
        <v>3688</v>
      </c>
      <c r="C1" s="1" t="s">
        <v>3689</v>
      </c>
      <c r="D1" s="1"/>
      <c r="E1" s="4"/>
    </row>
    <row r="2" spans="1:5" x14ac:dyDescent="0.4">
      <c r="A2" s="2">
        <v>1</v>
      </c>
      <c r="B2" s="2" t="s">
        <v>3690</v>
      </c>
      <c r="C2" s="2" t="s">
        <v>3691</v>
      </c>
      <c r="D2" s="2"/>
      <c r="E2" s="5"/>
    </row>
    <row r="3" spans="1:5" x14ac:dyDescent="0.4">
      <c r="A3" s="2">
        <v>2</v>
      </c>
      <c r="B3" s="2" t="s">
        <v>3692</v>
      </c>
      <c r="C3" s="2" t="s">
        <v>3691</v>
      </c>
      <c r="D3" s="2"/>
      <c r="E3" s="5"/>
    </row>
    <row r="4" spans="1:5" x14ac:dyDescent="0.4">
      <c r="A4" s="2">
        <v>3</v>
      </c>
      <c r="B4" s="2" t="s">
        <v>3693</v>
      </c>
      <c r="C4" s="2" t="s">
        <v>3691</v>
      </c>
      <c r="D4" s="2"/>
      <c r="E4" s="5"/>
    </row>
    <row r="5" spans="1:5" x14ac:dyDescent="0.4">
      <c r="A5" s="2">
        <v>4</v>
      </c>
      <c r="B5" s="2" t="s">
        <v>3694</v>
      </c>
      <c r="C5" s="2" t="s">
        <v>3691</v>
      </c>
      <c r="D5" s="2"/>
      <c r="E5" s="5"/>
    </row>
    <row r="6" spans="1:5" x14ac:dyDescent="0.4">
      <c r="A6" s="2">
        <v>5</v>
      </c>
      <c r="B6" s="2" t="s">
        <v>3695</v>
      </c>
      <c r="C6" s="2" t="s">
        <v>3691</v>
      </c>
      <c r="D6" s="2"/>
      <c r="E6" s="5"/>
    </row>
    <row r="7" spans="1:5" x14ac:dyDescent="0.4">
      <c r="A7" s="2">
        <v>6</v>
      </c>
      <c r="B7" s="2" t="s">
        <v>3696</v>
      </c>
      <c r="C7" s="2" t="s">
        <v>3691</v>
      </c>
      <c r="D7" s="2"/>
      <c r="E7" s="5"/>
    </row>
    <row r="8" spans="1:5" x14ac:dyDescent="0.4">
      <c r="A8" s="2">
        <v>7</v>
      </c>
      <c r="B8" s="2" t="s">
        <v>3697</v>
      </c>
      <c r="C8" s="2" t="s">
        <v>3698</v>
      </c>
      <c r="D8" s="2"/>
      <c r="E8" s="5"/>
    </row>
    <row r="9" spans="1:5" x14ac:dyDescent="0.4">
      <c r="A9" s="2">
        <v>8</v>
      </c>
      <c r="B9" s="2" t="s">
        <v>3699</v>
      </c>
      <c r="C9" s="2" t="s">
        <v>3698</v>
      </c>
      <c r="D9" s="2"/>
      <c r="E9" s="5"/>
    </row>
    <row r="10" spans="1:5" x14ac:dyDescent="0.4">
      <c r="A10" s="2">
        <v>9</v>
      </c>
      <c r="B10" s="2" t="s">
        <v>3700</v>
      </c>
      <c r="C10" s="2" t="s">
        <v>3698</v>
      </c>
      <c r="D10" s="2"/>
      <c r="E10" s="5"/>
    </row>
    <row r="11" spans="1:5" x14ac:dyDescent="0.4">
      <c r="A11" s="2">
        <v>10</v>
      </c>
      <c r="B11" s="2" t="s">
        <v>3701</v>
      </c>
      <c r="C11" s="2" t="s">
        <v>3698</v>
      </c>
      <c r="D11" s="2"/>
      <c r="E11" s="5"/>
    </row>
    <row r="12" spans="1:5" x14ac:dyDescent="0.4">
      <c r="A12" s="2">
        <v>11</v>
      </c>
      <c r="B12" s="2" t="s">
        <v>3702</v>
      </c>
      <c r="C12" s="2" t="s">
        <v>3703</v>
      </c>
      <c r="D12" s="2"/>
      <c r="E12" s="5"/>
    </row>
    <row r="13" spans="1:5" x14ac:dyDescent="0.4">
      <c r="A13" s="2">
        <v>12</v>
      </c>
      <c r="B13" s="2" t="s">
        <v>3704</v>
      </c>
      <c r="C13" s="2" t="s">
        <v>3703</v>
      </c>
      <c r="D13" s="2"/>
      <c r="E13" s="5"/>
    </row>
    <row r="14" spans="1:5" x14ac:dyDescent="0.4">
      <c r="A14" s="2">
        <v>13</v>
      </c>
      <c r="B14" s="2" t="s">
        <v>3705</v>
      </c>
      <c r="C14" s="2" t="s">
        <v>3703</v>
      </c>
      <c r="D14" s="2"/>
      <c r="E14" s="5"/>
    </row>
    <row r="15" spans="1:5" x14ac:dyDescent="0.4">
      <c r="A15" s="2">
        <v>14</v>
      </c>
      <c r="B15" s="2" t="s">
        <v>3706</v>
      </c>
      <c r="C15" s="2" t="s">
        <v>3703</v>
      </c>
      <c r="D15" s="2"/>
      <c r="E15" s="5"/>
    </row>
    <row r="16" spans="1:5" x14ac:dyDescent="0.4">
      <c r="A16" s="2">
        <v>15</v>
      </c>
      <c r="B16" s="2" t="s">
        <v>3707</v>
      </c>
      <c r="C16" s="2" t="s">
        <v>3703</v>
      </c>
      <c r="D16" s="2"/>
      <c r="E16" s="5"/>
    </row>
    <row r="17" spans="1:5" x14ac:dyDescent="0.4">
      <c r="A17" s="2">
        <v>16</v>
      </c>
      <c r="B17" s="2" t="s">
        <v>3708</v>
      </c>
      <c r="C17" s="2" t="s">
        <v>3709</v>
      </c>
      <c r="D17" s="2"/>
      <c r="E17" s="5"/>
    </row>
    <row r="18" spans="1:5" x14ac:dyDescent="0.4">
      <c r="A18" s="2">
        <v>17</v>
      </c>
      <c r="B18" s="2" t="s">
        <v>3710</v>
      </c>
      <c r="C18" s="2" t="s">
        <v>3709</v>
      </c>
      <c r="D18" s="2"/>
      <c r="E18" s="15"/>
    </row>
    <row r="19" spans="1:5" x14ac:dyDescent="0.4">
      <c r="A19" s="2">
        <v>18</v>
      </c>
      <c r="B19" s="2" t="s">
        <v>3711</v>
      </c>
      <c r="C19" s="2" t="s">
        <v>3709</v>
      </c>
      <c r="D19" s="2"/>
      <c r="E19" s="15"/>
    </row>
    <row r="20" spans="1:5" x14ac:dyDescent="0.4">
      <c r="A20" s="2">
        <v>19</v>
      </c>
      <c r="B20" s="2" t="s">
        <v>3712</v>
      </c>
      <c r="C20" s="2" t="s">
        <v>3709</v>
      </c>
      <c r="D20" s="2"/>
      <c r="E20" s="15"/>
    </row>
    <row r="21" spans="1:5" x14ac:dyDescent="0.4">
      <c r="A21" s="2">
        <v>20</v>
      </c>
      <c r="B21" s="2" t="s">
        <v>3713</v>
      </c>
      <c r="C21" s="2" t="s">
        <v>3709</v>
      </c>
      <c r="D21" s="2"/>
      <c r="E21" s="15"/>
    </row>
    <row r="22" spans="1:5" x14ac:dyDescent="0.4">
      <c r="A22" s="2">
        <v>21</v>
      </c>
      <c r="B22" s="2" t="s">
        <v>3714</v>
      </c>
      <c r="C22" s="2" t="s">
        <v>3691</v>
      </c>
      <c r="D22" s="2"/>
      <c r="E22" s="15"/>
    </row>
    <row r="23" spans="1:5" x14ac:dyDescent="0.4">
      <c r="A23" s="2">
        <v>22</v>
      </c>
      <c r="B23" s="2" t="s">
        <v>3715</v>
      </c>
      <c r="C23" s="2" t="s">
        <v>3691</v>
      </c>
      <c r="D23" s="2"/>
      <c r="E23" s="15"/>
    </row>
    <row r="24" spans="1:5" x14ac:dyDescent="0.4">
      <c r="A24" s="2">
        <v>23</v>
      </c>
      <c r="B24" s="2" t="s">
        <v>3716</v>
      </c>
      <c r="C24" s="2" t="s">
        <v>3698</v>
      </c>
      <c r="D24" s="2"/>
      <c r="E24" s="15"/>
    </row>
    <row r="25" spans="1:5" x14ac:dyDescent="0.4">
      <c r="A25" s="2">
        <v>24</v>
      </c>
      <c r="B25" s="2" t="s">
        <v>3717</v>
      </c>
      <c r="C25" s="2" t="s">
        <v>3698</v>
      </c>
      <c r="D25" s="2"/>
      <c r="E25" s="15"/>
    </row>
    <row r="26" spans="1:5" x14ac:dyDescent="0.4">
      <c r="A26" s="2">
        <v>25</v>
      </c>
      <c r="B26" s="2" t="s">
        <v>3718</v>
      </c>
      <c r="C26" s="2" t="s">
        <v>3691</v>
      </c>
      <c r="D26" s="2"/>
      <c r="E26" s="15"/>
    </row>
    <row r="27" spans="1:5" x14ac:dyDescent="0.4">
      <c r="A27" s="2">
        <v>26</v>
      </c>
      <c r="B27" s="2" t="s">
        <v>3719</v>
      </c>
      <c r="C27" s="2" t="s">
        <v>3691</v>
      </c>
      <c r="D27" s="2"/>
      <c r="E27" s="5"/>
    </row>
    <row r="28" spans="1:5" x14ac:dyDescent="0.4">
      <c r="A28" s="2">
        <v>27</v>
      </c>
      <c r="B28" s="2" t="s">
        <v>3720</v>
      </c>
      <c r="C28" s="2" t="s">
        <v>3698</v>
      </c>
      <c r="D28" s="2"/>
      <c r="E28" s="15"/>
    </row>
    <row r="29" spans="1:5" x14ac:dyDescent="0.4">
      <c r="A29" s="2">
        <v>28</v>
      </c>
      <c r="B29" s="2" t="s">
        <v>3721</v>
      </c>
      <c r="C29" s="2" t="s">
        <v>3703</v>
      </c>
      <c r="D29" s="2"/>
      <c r="E29" s="15"/>
    </row>
    <row r="30" spans="1:5" x14ac:dyDescent="0.4">
      <c r="A30" s="2">
        <v>29</v>
      </c>
      <c r="B30" s="2" t="s">
        <v>3722</v>
      </c>
      <c r="C30" s="2" t="s">
        <v>3709</v>
      </c>
      <c r="D30" s="2"/>
      <c r="E30" s="15"/>
    </row>
    <row r="31" spans="1:5" x14ac:dyDescent="0.4">
      <c r="A31" s="2">
        <v>30</v>
      </c>
      <c r="B31" s="2" t="s">
        <v>3723</v>
      </c>
      <c r="C31" s="2" t="s">
        <v>3691</v>
      </c>
      <c r="D31" s="2"/>
      <c r="E31" s="1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Raw_Employee_Data</vt:lpstr>
      <vt:lpstr>Sales_Transactions</vt:lpstr>
      <vt:lpstr>Customer_Master</vt:lpstr>
      <vt:lpstr>Product_List</vt:lpstr>
      <vt:lpstr>Questions_Sheet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2025-11-05T17:53:15Z</dcterms:created>
  <dcterms:modified xsi:type="dcterms:W3CDTF">2026-10-24T08:09:43Z</dcterms:modified>
</cp:coreProperties>
</file>